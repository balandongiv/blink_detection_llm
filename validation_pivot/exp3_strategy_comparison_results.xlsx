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lan\Desktop\farah_fyp-main\farah_fyp-main\blink_detection_llm\validation_pivot\"/>
    </mc:Choice>
  </mc:AlternateContent>
  <xr:revisionPtr revIDLastSave="0" documentId="13_ncr:1_{9797E4B9-D10A-4B29-BCAB-33CEA66786E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g8_pr_means" sheetId="3" r:id="rId1"/>
    <sheet name="table1_macro_f1" sheetId="2" r:id="rId2"/>
    <sheet name="validation_info" sheetId="4" r:id="rId3"/>
    <sheet name="raw_data" sheetId="1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<sst xmlns="http://schemas.openxmlformats.org/spreadsheetml/2006/main" count="2508" uniqueCount="229">
  <si>
    <t>dataset</t>
  </si>
  <si>
    <t>session</t>
  </si>
  <si>
    <t>selection</t>
  </si>
  <si>
    <t>condition</t>
  </si>
  <si>
    <t>center_method</t>
  </si>
  <si>
    <t>n_channels_used</t>
  </si>
  <si>
    <t>best_channel</t>
  </si>
  <si>
    <t>tp</t>
  </si>
  <si>
    <t>fp</t>
  </si>
  <si>
    <t>fn</t>
  </si>
  <si>
    <t>precision</t>
  </si>
  <si>
    <t>recall</t>
  </si>
  <si>
    <t>f1</t>
  </si>
  <si>
    <t>cao2018</t>
  </si>
  <si>
    <t>S01/051017m</t>
  </si>
  <si>
    <t>all_channel</t>
  </si>
  <si>
    <t>BLINKER-concat</t>
  </si>
  <si>
    <t>FP1</t>
  </si>
  <si>
    <t>MNE-annot</t>
  </si>
  <si>
    <t>F8</t>
  </si>
  <si>
    <t>Proposed-Mean</t>
  </si>
  <si>
    <t>mean</t>
  </si>
  <si>
    <t>Proposed-Med</t>
  </si>
  <si>
    <t>median</t>
  </si>
  <si>
    <t>S01/060227n</t>
  </si>
  <si>
    <t>FT8</t>
  </si>
  <si>
    <t>S09/060317n</t>
  </si>
  <si>
    <t>S05/051120m</t>
  </si>
  <si>
    <t>F3</t>
  </si>
  <si>
    <t>FP2</t>
  </si>
  <si>
    <t>S04/051130m</t>
  </si>
  <si>
    <t>S09/060313n</t>
  </si>
  <si>
    <t>S01/060926_2n</t>
  </si>
  <si>
    <t>S01/060926_1n</t>
  </si>
  <si>
    <t>S09/060720_1n</t>
  </si>
  <si>
    <t>F7</t>
  </si>
  <si>
    <t>S13/060217m</t>
  </si>
  <si>
    <t>S02/050921m</t>
  </si>
  <si>
    <t>S12/060710_1m</t>
  </si>
  <si>
    <t>S22/080513m</t>
  </si>
  <si>
    <t>S12/060710_2m</t>
  </si>
  <si>
    <t>S11/060920_1n</t>
  </si>
  <si>
    <t>S05/060308n</t>
  </si>
  <si>
    <t>FZ</t>
  </si>
  <si>
    <t>S02/051115m</t>
  </si>
  <si>
    <t>S22/090825n</t>
  </si>
  <si>
    <t>S13/060213m</t>
  </si>
  <si>
    <t>S06/051119m</t>
  </si>
  <si>
    <t>S01/061102n</t>
  </si>
  <si>
    <t>T4</t>
  </si>
  <si>
    <t>S14/060319m</t>
  </si>
  <si>
    <t>S22/091006m</t>
  </si>
  <si>
    <t>S14/060319n</t>
  </si>
  <si>
    <t>S35/070115m</t>
  </si>
  <si>
    <t>F4</t>
  </si>
  <si>
    <t>S23/060711_1m</t>
  </si>
  <si>
    <t>S41/080520m</t>
  </si>
  <si>
    <t>S05/061019m</t>
  </si>
  <si>
    <t>S41/080530n</t>
  </si>
  <si>
    <t>S31/061020m</t>
  </si>
  <si>
    <t>S31/061103n</t>
  </si>
  <si>
    <t>S40/070131m</t>
  </si>
  <si>
    <t>S41/090813m</t>
  </si>
  <si>
    <t>S35/070322n</t>
  </si>
  <si>
    <t>S49/080522n</t>
  </si>
  <si>
    <t>S48/080501n</t>
  </si>
  <si>
    <t>FT7</t>
  </si>
  <si>
    <t>S41/061225n</t>
  </si>
  <si>
    <t>S41/091104n</t>
  </si>
  <si>
    <t>S49/080527n</t>
  </si>
  <si>
    <t>S42/070105n</t>
  </si>
  <si>
    <t>S44/070205n</t>
  </si>
  <si>
    <t>FC4</t>
  </si>
  <si>
    <t>S44/070325n</t>
  </si>
  <si>
    <t>A2</t>
  </si>
  <si>
    <t>S05/061101n</t>
  </si>
  <si>
    <t>FC3</t>
  </si>
  <si>
    <t>S52/081017n</t>
  </si>
  <si>
    <t>FCZ</t>
  </si>
  <si>
    <t>S53/081018n</t>
  </si>
  <si>
    <t>S54/081226m</t>
  </si>
  <si>
    <t>S44/070126m</t>
  </si>
  <si>
    <t>S45/070321n</t>
  </si>
  <si>
    <t>S43/070202m</t>
  </si>
  <si>
    <t>S50/080725n</t>
  </si>
  <si>
    <t>C3</t>
  </si>
  <si>
    <t>S50/080731m</t>
  </si>
  <si>
    <t>S43/070208n</t>
  </si>
  <si>
    <t>S43/070205n</t>
  </si>
  <si>
    <t>S53/090925m</t>
  </si>
  <si>
    <t>S53/090918n</t>
  </si>
  <si>
    <t>S40/070124n</t>
  </si>
  <si>
    <t>S45/070307n</t>
  </si>
  <si>
    <t>S55/090930n</t>
  </si>
  <si>
    <t>raja</t>
  </si>
  <si>
    <t>S12/S25_20190124_060024_3</t>
  </si>
  <si>
    <t>E23</t>
  </si>
  <si>
    <t>E22</t>
  </si>
  <si>
    <t>E9</t>
  </si>
  <si>
    <t>S1/S01_20170519_043933_3</t>
  </si>
  <si>
    <t>E3</t>
  </si>
  <si>
    <t>E59</t>
  </si>
  <si>
    <t>S10/S23_20181226_042222_3</t>
  </si>
  <si>
    <t>E67</t>
  </si>
  <si>
    <t>S13/S26_20190108_035218_3</t>
  </si>
  <si>
    <t>S18/S31_20190115_035853</t>
  </si>
  <si>
    <t>E11</t>
  </si>
  <si>
    <t>S1/S01_20170519_043933</t>
  </si>
  <si>
    <t>E124</t>
  </si>
  <si>
    <t>S1/S01_20170519_043933_2</t>
  </si>
  <si>
    <t>S10/S23_20181226_042222</t>
  </si>
  <si>
    <t>S10/S23_20181226_042222_2</t>
  </si>
  <si>
    <t>S12/S25_20190124_060024</t>
  </si>
  <si>
    <t>E24</t>
  </si>
  <si>
    <t>S12/S25_20190124_060024_2</t>
  </si>
  <si>
    <t>S13/S26_20190108_035218</t>
  </si>
  <si>
    <t>S18/S31_20190115_035853_2</t>
  </si>
  <si>
    <t>S13/S26_20190108_035218_2</t>
  </si>
  <si>
    <t>S16/S29_20190111_034326_3</t>
  </si>
  <si>
    <t>S2/TEST_20170601_042544_3</t>
  </si>
  <si>
    <t>S18/S31_20190115_035853_3</t>
  </si>
  <si>
    <t>S19/S32_20190116_041137_3</t>
  </si>
  <si>
    <t>S2/TEST_20170601_042544</t>
  </si>
  <si>
    <t>E26</t>
  </si>
  <si>
    <t>S19/S32_20190116_041137</t>
  </si>
  <si>
    <t>S2/TEST_20170601_042544_2</t>
  </si>
  <si>
    <t>S19/S32_20190116_041137_2</t>
  </si>
  <si>
    <t>S16/S29_20190111_034326_2</t>
  </si>
  <si>
    <t>S22/S35_20190123_040805_2</t>
  </si>
  <si>
    <t>S23/S36_20190125_040931</t>
  </si>
  <si>
    <t>E84</t>
  </si>
  <si>
    <t>S23/S36_20190125_040931_2</t>
  </si>
  <si>
    <t>E47</t>
  </si>
  <si>
    <t>S26/S39_20190130_052313_3</t>
  </si>
  <si>
    <t>E117</t>
  </si>
  <si>
    <t>S3/S03_20170605_033654_3</t>
  </si>
  <si>
    <t>S3/S03_20170605_033654</t>
  </si>
  <si>
    <t>S23/S36_20190125_040931_3</t>
  </si>
  <si>
    <t>E37</t>
  </si>
  <si>
    <t>S24/S38_20190129_035118_3</t>
  </si>
  <si>
    <t>S3/S03_20170605_033654_2</t>
  </si>
  <si>
    <t>S4/S04_20170606_045500</t>
  </si>
  <si>
    <t>S5/S05_20170607_032937_3</t>
  </si>
  <si>
    <t>S4/S04_20170606_045500_2</t>
  </si>
  <si>
    <t>S6/S06_20170817_034716_3</t>
  </si>
  <si>
    <t>S24/S38_20190129_035118</t>
  </si>
  <si>
    <t>S5/S05_20170607_032937</t>
  </si>
  <si>
    <t>S24/S38_20190129_035118_2</t>
  </si>
  <si>
    <t>S5/S05_20170607_032937_2</t>
  </si>
  <si>
    <t>S6/S06_20170817_034716</t>
  </si>
  <si>
    <t>S6/S06_20170817_034716_2</t>
  </si>
  <si>
    <t>S4/S04_20170606_045500_3</t>
  </si>
  <si>
    <t>S21/S34_20190122_044130_3</t>
  </si>
  <si>
    <t>S21/S34_20190122_044130</t>
  </si>
  <si>
    <t>S21/S34_20190122_044130_2</t>
  </si>
  <si>
    <t>Row Labels</t>
  </si>
  <si>
    <t>Grand Total</t>
  </si>
  <si>
    <t>Column Labels</t>
  </si>
  <si>
    <t>Average of f1</t>
  </si>
  <si>
    <t>Average of precision</t>
  </si>
  <si>
    <t>Total Average of precision</t>
  </si>
  <si>
    <t>Total Average of recall</t>
  </si>
  <si>
    <t>Average of recall</t>
  </si>
  <si>
    <t>SUPPLEMENTARY: Paired two-sided Wilcoxon signed-rank test, Proposed-Med vs baseline (session-level F1), Bonferroni-corrected x4</t>
  </si>
  <si>
    <t>baseline</t>
  </si>
  <si>
    <t>n_sessions</t>
  </si>
  <si>
    <t>wilcoxon_stat</t>
  </si>
  <si>
    <t>p_raw</t>
  </si>
  <si>
    <t>p_bonferroni_x4</t>
  </si>
  <si>
    <t>significant_at_0.05</t>
  </si>
  <si>
    <t>All 4 corrected p-values &lt; 0.05 -&gt; confirms both BLINKER-concat and MNE-annot are significantly different from Proposed-Med on both datasets, consistent with the asterisks on both baselines in both columns of manuscript Table 1.</t>
  </si>
  <si>
    <t>item</t>
  </si>
  <si>
    <t>manuscript_ref</t>
  </si>
  <si>
    <t>source_csv(s)</t>
  </si>
  <si>
    <t>pivot_sheet</t>
  </si>
  <si>
    <t>rows</t>
  </si>
  <si>
    <t>columns</t>
  </si>
  <si>
    <t>filters</t>
  </si>
  <si>
    <t>values_aggregation</t>
  </si>
  <si>
    <t>manuscript_value</t>
  </si>
  <si>
    <t>pivot_value</t>
  </si>
  <si>
    <t>abs_diff</t>
  </si>
  <si>
    <t>status</t>
  </si>
  <si>
    <t>notes</t>
  </si>
  <si>
    <t>Table 1: Proposed-Med / Internal (raja)</t>
  </si>
  <si>
    <t>Table 1: Macro-F1 (%) for Proposed-approach and both baselines on Internal and Cao2018. An asterisk marks a baseline as significantly different from Proposed-approach (two-sided Wilcoxon signed-rank test on session-level F1, p&lt;0.05, Bonferroni-corrected across the four tests shown).</t>
  </si>
  <si>
    <t>publication_results/exp3_cao/exp2_strategy_comparison_cao2018_results.csv; publication_results/exp3_raja/exp2_strategy_comparison_raja_results.csv</t>
  </si>
  <si>
    <t>table1_macro_f1</t>
  </si>
  <si>
    <t>condition (restricted to Proposed-Med, BLINKER-concat, MNE-annot)</t>
  </si>
  <si>
    <t>dataset (restricted to cao2018, raja)</t>
  </si>
  <si>
    <t>none needed (selection constant = all_channel in this per-session file)</t>
  </si>
  <si>
    <t>Average of f1 (native Excel PivotTable AVERAGE aggregation)</t>
  </si>
  <si>
    <t>PASS</t>
  </si>
  <si>
    <t>Reproduced via genuine Excel COM PivotTable (Add-ComparisonPivot). Matches manuscript to printed precision.</t>
  </si>
  <si>
    <t>Table 1: BLINKER-concat / Internal (raja)</t>
  </si>
  <si>
    <t>Table 1: MNE-annot / Internal (raja)</t>
  </si>
  <si>
    <t>Table 1: Proposed-Med / Cao2018</t>
  </si>
  <si>
    <t>Table 1: BLINKER-concat / Cao2018</t>
  </si>
  <si>
    <t>Table 1: MNE-annot / Cao2018</t>
  </si>
  <si>
    <t>Table 1 prose cross-check: Proposed-approach macro-F1</t>
  </si>
  <si>
    <t>Manuscript prose: "In the strategy comparison, Proposed-approach achieved macro-F1 scores of 88.25% and 80.68% on Internal and Cao2018, respectively"</t>
  </si>
  <si>
    <t>condition = Proposed-Med</t>
  </si>
  <si>
    <t>dataset = raja, cao2018</t>
  </si>
  <si>
    <t>none</t>
  </si>
  <si>
    <t>88.25 / 80.68</t>
  </si>
  <si>
    <t>88.2509 / 80.6753</t>
  </si>
  <si>
    <t>&lt;=0.0009</t>
  </si>
  <si>
    <t>Duplicates Table 1's Proposed row; second independent confirmation of same 2 pivot cells.</t>
  </si>
  <si>
    <t>Figure 8 mean marker: Proposed-Med / Internal (raja)</t>
  </si>
  <si>
    <t>Figure 8: Per-session precision-recall operating points for Internal and Cao2018, shown separately. Each small point is one session's precision-recall pair for one condition. Marker shape encodes the condition (BLINKER, MNE, Proposed-approach) and marker color encodes the dataset. The large navy-outlined marker for each condition marks its mean over sessions within that dataset. Both axes run from 0 to 100 percent.</t>
  </si>
  <si>
    <t>fig8_pr_means</t>
  </si>
  <si>
    <t>none needed</t>
  </si>
  <si>
    <t>Average of precision, Average of recall (two data fields, native PivotTable AVERAGE aggregation)</t>
  </si>
  <si>
    <t>n/a - no printed manuscript number (scatter plot, not a table)</t>
  </si>
  <si>
    <t>precision=88.0253%, recall=90.1425%</t>
  </si>
  <si>
    <t>n/a</t>
  </si>
  <si>
    <t>No printed manuscript value to diff against for Figure 8's navy-outlined mean markers (per-session scatter plot). Recorded for traceability + consistency check with Table 1's F1 (mean-of-F1 != F1-of-means, so only plausibility is expected, not exact equality).</t>
  </si>
  <si>
    <t>Figure 8 mean marker: BLINKER-concat / Internal (raja)</t>
  </si>
  <si>
    <t>precision=67.944%, recall=95.1752%</t>
  </si>
  <si>
    <t>Figure 8 mean marker: MNE-annot / Internal (raja)</t>
  </si>
  <si>
    <t>precision=69.4449%, recall=70.6339%</t>
  </si>
  <si>
    <t>Figure 8 mean marker: Proposed-Med / Cao2018</t>
  </si>
  <si>
    <t>precision=75.9145%, recall=89.0923%</t>
  </si>
  <si>
    <t>Figure 8 mean marker: BLINKER-concat / Cao2018</t>
  </si>
  <si>
    <t>precision=56.9568%, recall=97.1469%</t>
  </si>
  <si>
    <t>Figure 8 mean marker: MNE-annot / Cao2018</t>
  </si>
  <si>
    <t>precision=60.1349%, recall=61.6813%</t>
  </si>
  <si>
    <t>SUMMARY</t>
  </si>
  <si>
    <t>Table 1: 6/6 cells PASS (all within 0.005pp of manuscript printed value). Prose cross-check: 1/1 PASS. Figure 8: 6/6 mean-marker cells recorded PASS (traceability only, no printed manuscript number exists to diff against). Wilcoxon supplementary check (see table1_macro_f1 sheet): all 4 Bonferroni-corrected p-values &lt; 0.05, confirming both baselines are significantly different from Proposed-Med on both datasets, matching the asterisks in manuscript Table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</si>
</sst>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b" refreshedDate="46280.88467511574" createdVersion="8" refreshedVersion="8" minRefreshableVersion="3" recordCount="416" xr:uid="{C506D054-EFDF-48DB-97A7-084D071AFA15}">
  <cacheSource type="worksheet">
    <worksheetSource ref="A1:M417" sheet="raw_data"/>
  </cacheSource>
  <cacheFields count="13">
    <cacheField name="dataset" numFmtId="0">
      <sharedItems count="2">
        <s v="cao2018"/>
        <s v="raja"/>
      </sharedItems>
    </cacheField>
    <cacheField name="session" numFmtId="0">
      <sharedItems/>
    </cacheField>
    <cacheField name="selection" numFmtId="0">
      <sharedItems/>
    </cacheField>
    <cacheField name="condition" numFmtId="0">
      <sharedItems count="4">
        <s v="BLINKER-concat"/>
        <s v="MNE-annot"/>
        <s v="Proposed-Mean"/>
        <s v="Proposed-Med"/>
      </sharedItems>
    </cacheField>
    <cacheField name="center_method" numFmtId="0">
      <sharedItems containsBlank="1"/>
    </cacheField>
    <cacheField name="n_channels_used" numFmtId="0">
      <sharedItems containsSemiMixedTypes="0" containsString="0" containsNumber="1" containsInteger="1" minValue="32" maxValue="32"/>
    </cacheField>
    <cacheField name="best_channel" numFmtId="0">
      <sharedItems/>
    </cacheField>
    <cacheField name="tp" numFmtId="0">
      <sharedItems containsSemiMixedTypes="0" containsString="0" containsNumber="1" containsInteger="1" minValue="0" maxValue="4604"/>
    </cacheField>
    <cacheField name="fp" numFmtId="0">
      <sharedItems containsSemiMixedTypes="0" containsString="0" containsNumber="1" containsInteger="1" minValue="1" maxValue="2582"/>
    </cacheField>
    <cacheField name="fn" numFmtId="0">
      <sharedItems containsSemiMixedTypes="0" containsString="0" containsNumber="1" containsInteger="1" minValue="0" maxValue="2696"/>
    </cacheField>
    <cacheField name="precision" numFmtId="0">
      <sharedItems containsSemiMixedTypes="0" containsString="0" containsNumber="1" minValue="0" maxValue="0.99945945945945958"/>
    </cacheField>
    <cacheField name="recall" numFmtId="0">
      <sharedItems containsSemiMixedTypes="0" containsString="0" containsNumber="1" minValue="0" maxValue="1"/>
    </cacheField>
    <cacheField name="f1" numFmtId="0">
      <sharedItems containsSemiMixedTypes="0" containsString="0" containsNumber="1" minValue="0" maxValue="0.997056462402997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b" refreshedDate="46280.884684027777" createdVersion="8" refreshedVersion="8" minRefreshableVersion="3" recordCount="416" xr:uid="{3C9B0F77-7F4F-46A7-9AD2-C922F9EBE02D}">
  <cacheSource type="worksheet">
    <worksheetSource ref="A1:M417" sheet="raw_data"/>
  </cacheSource>
  <cacheFields count="13">
    <cacheField name="dataset" numFmtId="0">
      <sharedItems count="2">
        <s v="cao2018"/>
        <s v="raja"/>
      </sharedItems>
    </cacheField>
    <cacheField name="session" numFmtId="0">
      <sharedItems/>
    </cacheField>
    <cacheField name="selection" numFmtId="0">
      <sharedItems/>
    </cacheField>
    <cacheField name="condition" numFmtId="0">
      <sharedItems count="4">
        <s v="BLINKER-concat"/>
        <s v="MNE-annot"/>
        <s v="Proposed-Mean"/>
        <s v="Proposed-Med"/>
      </sharedItems>
    </cacheField>
    <cacheField name="center_method" numFmtId="0">
      <sharedItems containsBlank="1"/>
    </cacheField>
    <cacheField name="n_channels_used" numFmtId="0">
      <sharedItems containsSemiMixedTypes="0" containsString="0" containsNumber="1" containsInteger="1" minValue="32" maxValue="32"/>
    </cacheField>
    <cacheField name="best_channel" numFmtId="0">
      <sharedItems/>
    </cacheField>
    <cacheField name="tp" numFmtId="0">
      <sharedItems containsSemiMixedTypes="0" containsString="0" containsNumber="1" containsInteger="1" minValue="0" maxValue="4604"/>
    </cacheField>
    <cacheField name="fp" numFmtId="0">
      <sharedItems containsSemiMixedTypes="0" containsString="0" containsNumber="1" containsInteger="1" minValue="1" maxValue="2582"/>
    </cacheField>
    <cacheField name="fn" numFmtId="0">
      <sharedItems containsSemiMixedTypes="0" containsString="0" containsNumber="1" containsInteger="1" minValue="0" maxValue="2696"/>
    </cacheField>
    <cacheField name="precision" numFmtId="0">
      <sharedItems containsSemiMixedTypes="0" containsString="0" containsNumber="1" minValue="0" maxValue="0.99945945945945958"/>
    </cacheField>
    <cacheField name="recall" numFmtId="0">
      <sharedItems containsSemiMixedTypes="0" containsString="0" containsNumber="1" minValue="0" maxValue="1"/>
    </cacheField>
    <cacheField name="f1" numFmtId="0">
      <sharedItems containsSemiMixedTypes="0" containsString="0" containsNumber="1" minValue="0" maxValue="0.997056462402997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s v="S01/051017m"/>
    <s v="all_channel"/>
    <x v="0"/>
    <m/>
    <n v="32"/>
    <s v="FP1"/>
    <n v="405"/>
    <n v="1461"/>
    <n v="3"/>
    <n v="0.21704180064308681"/>
    <n v="0.99264705882352944"/>
    <n v="0.35620052770448551"/>
  </r>
  <r>
    <x v="0"/>
    <s v="S01/051017m"/>
    <s v="all_channel"/>
    <x v="1"/>
    <m/>
    <n v="32"/>
    <s v="F8"/>
    <n v="8"/>
    <n v="20"/>
    <n v="400"/>
    <n v="0.2857142857142857"/>
    <n v="1.9607843137254902E-2"/>
    <n v="3.6697247706422E-2"/>
  </r>
  <r>
    <x v="0"/>
    <s v="S01/051017m"/>
    <s v="all_channel"/>
    <x v="2"/>
    <s v="mean"/>
    <n v="32"/>
    <s v="FP1"/>
    <n v="326"/>
    <n v="320"/>
    <n v="82"/>
    <n v="0.50464396284829727"/>
    <n v="0.7990196078431373"/>
    <n v="0.61859582542694502"/>
  </r>
  <r>
    <x v="0"/>
    <s v="S01/051017m"/>
    <s v="all_channel"/>
    <x v="3"/>
    <s v="median"/>
    <n v="32"/>
    <s v="FP1"/>
    <n v="331"/>
    <n v="335"/>
    <n v="77"/>
    <n v="0.49699699699699701"/>
    <n v="0.81127450980392157"/>
    <n v="0.61638733705772808"/>
  </r>
  <r>
    <x v="0"/>
    <s v="S01/060227n"/>
    <s v="all_channel"/>
    <x v="0"/>
    <m/>
    <n v="32"/>
    <s v="FP1"/>
    <n v="617"/>
    <n v="1155"/>
    <n v="2"/>
    <n v="0.34819413092550788"/>
    <n v="0.99676898222940225"/>
    <n v="0.51610204935173565"/>
  </r>
  <r>
    <x v="0"/>
    <s v="S01/060227n"/>
    <s v="all_channel"/>
    <x v="1"/>
    <m/>
    <n v="32"/>
    <s v="FT8"/>
    <n v="10"/>
    <n v="65"/>
    <n v="609"/>
    <n v="0.1333333333333333"/>
    <n v="1.6155088852988601E-2"/>
    <n v="2.8818443804034501E-2"/>
  </r>
  <r>
    <x v="0"/>
    <s v="S01/060227n"/>
    <s v="all_channel"/>
    <x v="2"/>
    <s v="mean"/>
    <n v="32"/>
    <s v="FP1"/>
    <n v="477"/>
    <n v="233"/>
    <n v="142"/>
    <n v="0.67183098591549295"/>
    <n v="0.77059773828756062"/>
    <n v="0.71783295711060946"/>
  </r>
  <r>
    <x v="0"/>
    <s v="S01/060227n"/>
    <s v="all_channel"/>
    <x v="3"/>
    <s v="median"/>
    <n v="32"/>
    <s v="FP1"/>
    <n v="499"/>
    <n v="256"/>
    <n v="120"/>
    <n v="0.66092715231788079"/>
    <n v="0.8061389337641357"/>
    <n v="0.72634643377001462"/>
  </r>
  <r>
    <x v="0"/>
    <s v="S09/060317n"/>
    <s v="all_channel"/>
    <x v="0"/>
    <m/>
    <n v="32"/>
    <s v="FP1"/>
    <n v="975"/>
    <n v="375"/>
    <n v="1"/>
    <n v="0.72222222222222221"/>
    <n v="0.99897540983606559"/>
    <n v="0.83834909716251071"/>
  </r>
  <r>
    <x v="0"/>
    <s v="S09/060317n"/>
    <s v="all_channel"/>
    <x v="1"/>
    <m/>
    <n v="32"/>
    <s v="FP1"/>
    <n v="937"/>
    <n v="87"/>
    <n v="39"/>
    <n v="0.9150390625"/>
    <n v="0.96004098360655743"/>
    <n v="0.93700000000000006"/>
  </r>
  <r>
    <x v="0"/>
    <s v="S09/060317n"/>
    <s v="all_channel"/>
    <x v="2"/>
    <s v="mean"/>
    <n v="32"/>
    <s v="FP1"/>
    <n v="965"/>
    <n v="107"/>
    <n v="11"/>
    <n v="0.90018656716417911"/>
    <n v="0.98872950819672123"/>
    <n v="0.9423828125"/>
  </r>
  <r>
    <x v="0"/>
    <s v="S09/060317n"/>
    <s v="all_channel"/>
    <x v="3"/>
    <s v="median"/>
    <n v="32"/>
    <s v="FP1"/>
    <n v="968"/>
    <n v="125"/>
    <n v="8"/>
    <n v="0.8856358645928637"/>
    <n v="0.99180327868852458"/>
    <n v="0.9357177380376992"/>
  </r>
  <r>
    <x v="0"/>
    <s v="S05/051120m"/>
    <s v="all_channel"/>
    <x v="0"/>
    <m/>
    <n v="32"/>
    <s v="F3"/>
    <n v="685"/>
    <n v="932"/>
    <n v="99"/>
    <n v="0.42362399505256648"/>
    <n v="0.87372448979591832"/>
    <n v="0.57059558517284459"/>
  </r>
  <r>
    <x v="0"/>
    <s v="S05/051120m"/>
    <s v="all_channel"/>
    <x v="1"/>
    <m/>
    <n v="32"/>
    <s v="FP2"/>
    <n v="495"/>
    <n v="364"/>
    <n v="289"/>
    <n v="0.57625145518044241"/>
    <n v="0.63137755102040816"/>
    <n v="0.60255629945222156"/>
  </r>
  <r>
    <x v="0"/>
    <s v="S05/051120m"/>
    <s v="all_channel"/>
    <x v="2"/>
    <s v="mean"/>
    <n v="32"/>
    <s v="FP1"/>
    <n v="599"/>
    <n v="329"/>
    <n v="185"/>
    <n v="0.64547413793103448"/>
    <n v="0.76403061224489799"/>
    <n v="0.69976635514018681"/>
  </r>
  <r>
    <x v="0"/>
    <s v="S05/051120m"/>
    <s v="all_channel"/>
    <x v="3"/>
    <s v="median"/>
    <n v="32"/>
    <s v="FP1"/>
    <n v="623"/>
    <n v="362"/>
    <n v="161"/>
    <n v="0.63248730964467004"/>
    <n v="0.7946428571428571"/>
    <n v="0.70435274166195594"/>
  </r>
  <r>
    <x v="0"/>
    <s v="S04/051130m"/>
    <s v="all_channel"/>
    <x v="0"/>
    <m/>
    <n v="32"/>
    <s v="F3"/>
    <n v="699"/>
    <n v="918"/>
    <n v="105"/>
    <n v="0.43228200371057512"/>
    <n v="0.86940298507462688"/>
    <n v="0.57744733581164809"/>
  </r>
  <r>
    <x v="0"/>
    <s v="S04/051130m"/>
    <s v="all_channel"/>
    <x v="1"/>
    <m/>
    <n v="32"/>
    <s v="FP2"/>
    <n v="503"/>
    <n v="356"/>
    <n v="301"/>
    <n v="0.5855646100116414"/>
    <n v="0.62562189054726369"/>
    <n v="0.60493084786530371"/>
  </r>
  <r>
    <x v="0"/>
    <s v="S04/051130m"/>
    <s v="all_channel"/>
    <x v="2"/>
    <s v="mean"/>
    <n v="32"/>
    <s v="FP1"/>
    <n v="603"/>
    <n v="325"/>
    <n v="201"/>
    <n v="0.64978448275862066"/>
    <n v="0.75"/>
    <n v="0.69630484988452668"/>
  </r>
  <r>
    <x v="0"/>
    <s v="S04/051130m"/>
    <s v="all_channel"/>
    <x v="3"/>
    <s v="median"/>
    <n v="32"/>
    <s v="FP1"/>
    <n v="626"/>
    <n v="359"/>
    <n v="178"/>
    <n v="0.63553299492385784"/>
    <n v="0.77860696517412931"/>
    <n v="0.69983230855226375"/>
  </r>
  <r>
    <x v="0"/>
    <s v="S09/060313n"/>
    <s v="all_channel"/>
    <x v="0"/>
    <m/>
    <n v="32"/>
    <s v="FP1"/>
    <n v="769"/>
    <n v="870"/>
    <n v="1"/>
    <n v="0.4691885295912141"/>
    <n v="0.99870129870129876"/>
    <n v="0.6384391863843919"/>
  </r>
  <r>
    <x v="0"/>
    <s v="S09/060313n"/>
    <s v="all_channel"/>
    <x v="1"/>
    <m/>
    <n v="32"/>
    <s v="FP1"/>
    <n v="719"/>
    <n v="184"/>
    <n v="51"/>
    <n v="0.79623477297895906"/>
    <n v="0.9337662337662338"/>
    <n v="0.85953377166766287"/>
  </r>
  <r>
    <x v="0"/>
    <s v="S09/060313n"/>
    <s v="all_channel"/>
    <x v="2"/>
    <s v="mean"/>
    <n v="32"/>
    <s v="FP2"/>
    <n v="759"/>
    <n v="338"/>
    <n v="11"/>
    <n v="0.69188696444849584"/>
    <n v="0.98571428571428577"/>
    <n v="0.81306909480449918"/>
  </r>
  <r>
    <x v="0"/>
    <s v="S09/060313n"/>
    <s v="all_channel"/>
    <x v="3"/>
    <s v="median"/>
    <n v="32"/>
    <s v="FP1"/>
    <n v="764"/>
    <n v="376"/>
    <n v="6"/>
    <n v="0.6701754385964912"/>
    <n v="0.99220779220779221"/>
    <n v="0.79999999999999993"/>
  </r>
  <r>
    <x v="0"/>
    <s v="S01/060926_2n"/>
    <s v="all_channel"/>
    <x v="0"/>
    <m/>
    <n v="32"/>
    <s v="FP1"/>
    <n v="1390"/>
    <n v="254"/>
    <n v="7"/>
    <n v="0.84549878345498786"/>
    <n v="0.99498926270579802"/>
    <n v="0.91417296941795456"/>
  </r>
  <r>
    <x v="0"/>
    <s v="S01/060926_2n"/>
    <s v="all_channel"/>
    <x v="1"/>
    <m/>
    <n v="32"/>
    <s v="F8"/>
    <n v="166"/>
    <n v="155"/>
    <n v="1231"/>
    <n v="0.51713395638629278"/>
    <n v="0.1188260558339298"/>
    <n v="0.1932479627473806"/>
  </r>
  <r>
    <x v="0"/>
    <s v="S01/060926_2n"/>
    <s v="all_channel"/>
    <x v="2"/>
    <s v="mean"/>
    <n v="32"/>
    <s v="FP1"/>
    <n v="1389"/>
    <n v="77"/>
    <n v="8"/>
    <n v="0.94747612551159621"/>
    <n v="0.99427344309234078"/>
    <n v="0.97031086273140077"/>
  </r>
  <r>
    <x v="0"/>
    <s v="S01/060926_2n"/>
    <s v="all_channel"/>
    <x v="3"/>
    <s v="median"/>
    <n v="32"/>
    <s v="FP1"/>
    <n v="1391"/>
    <n v="89"/>
    <n v="6"/>
    <n v="0.93986486486486476"/>
    <n v="0.99570508231925559"/>
    <n v="0.9669794925269376"/>
  </r>
  <r>
    <x v="0"/>
    <s v="S01/060926_1n"/>
    <s v="all_channel"/>
    <x v="0"/>
    <m/>
    <n v="32"/>
    <s v="FP1"/>
    <n v="1310"/>
    <n v="426"/>
    <n v="3"/>
    <n v="0.75460829493087556"/>
    <n v="0.99771515613099759"/>
    <n v="0.85929813053460147"/>
  </r>
  <r>
    <x v="0"/>
    <s v="S01/060926_1n"/>
    <s v="all_channel"/>
    <x v="1"/>
    <m/>
    <n v="32"/>
    <s v="F8"/>
    <n v="53"/>
    <n v="51"/>
    <n v="1260"/>
    <n v="0.50961538461538458"/>
    <n v="4.0365575019040298E-2"/>
    <n v="7.4805928016937195E-2"/>
  </r>
  <r>
    <x v="0"/>
    <s v="S01/060926_1n"/>
    <s v="all_channel"/>
    <x v="2"/>
    <s v="mean"/>
    <n v="32"/>
    <s v="FP1"/>
    <n v="1299"/>
    <n v="126"/>
    <n v="14"/>
    <n v="0.91157894736842104"/>
    <n v="0.98933739527798936"/>
    <n v="0.94886778670562444"/>
  </r>
  <r>
    <x v="0"/>
    <s v="S01/060926_1n"/>
    <s v="all_channel"/>
    <x v="3"/>
    <s v="median"/>
    <n v="32"/>
    <s v="FP1"/>
    <n v="1304"/>
    <n v="149"/>
    <n v="9"/>
    <n v="0.89745354439091529"/>
    <n v="0.99314546839299322"/>
    <n v="0.94287780187997094"/>
  </r>
  <r>
    <x v="0"/>
    <s v="S09/060720_1n"/>
    <s v="all_channel"/>
    <x v="0"/>
    <m/>
    <n v="32"/>
    <s v="FP2"/>
    <n v="1432"/>
    <n v="539"/>
    <n v="4"/>
    <n v="0.72653475393201417"/>
    <n v="0.99721448467966578"/>
    <n v="0.84062224831229815"/>
  </r>
  <r>
    <x v="0"/>
    <s v="S09/060720_1n"/>
    <s v="all_channel"/>
    <x v="1"/>
    <m/>
    <n v="32"/>
    <s v="F7"/>
    <n v="1158"/>
    <n v="225"/>
    <n v="278"/>
    <n v="0.83731019522776573"/>
    <n v="0.80640668523676884"/>
    <n v="0.8215679318907414"/>
  </r>
  <r>
    <x v="0"/>
    <s v="S09/060720_1n"/>
    <s v="all_channel"/>
    <x v="2"/>
    <s v="mean"/>
    <n v="32"/>
    <s v="FP2"/>
    <n v="1398"/>
    <n v="175"/>
    <n v="38"/>
    <n v="0.88874761602034325"/>
    <n v="0.97353760445682436"/>
    <n v="0.92921236291126619"/>
  </r>
  <r>
    <x v="0"/>
    <s v="S09/060720_1n"/>
    <s v="all_channel"/>
    <x v="3"/>
    <s v="median"/>
    <n v="32"/>
    <s v="FP2"/>
    <n v="1412"/>
    <n v="231"/>
    <n v="24"/>
    <n v="0.85940353012781501"/>
    <n v="0.98328690807799435"/>
    <n v="0.91718090289054877"/>
  </r>
  <r>
    <x v="0"/>
    <s v="S13/060217m"/>
    <s v="all_channel"/>
    <x v="0"/>
    <m/>
    <n v="32"/>
    <s v="FP1"/>
    <n v="743"/>
    <n v="1048"/>
    <n v="5"/>
    <n v="0.41485203796761588"/>
    <n v="0.99331550802139035"/>
    <n v="0.58526979125640022"/>
  </r>
  <r>
    <x v="0"/>
    <s v="S13/060217m"/>
    <s v="all_channel"/>
    <x v="1"/>
    <m/>
    <n v="32"/>
    <s v="FP1"/>
    <n v="609"/>
    <n v="266"/>
    <n v="139"/>
    <n v="0.69599999999999995"/>
    <n v="0.81417112299465244"/>
    <n v="0.75046210720887241"/>
  </r>
  <r>
    <x v="0"/>
    <s v="S13/060217m"/>
    <s v="all_channel"/>
    <x v="2"/>
    <s v="mean"/>
    <n v="32"/>
    <s v="FP1"/>
    <n v="592"/>
    <n v="264"/>
    <n v="156"/>
    <n v="0.69158878504672894"/>
    <n v="0.79144385026737973"/>
    <n v="0.73815461346633426"/>
  </r>
  <r>
    <x v="0"/>
    <s v="S13/060217m"/>
    <s v="all_channel"/>
    <x v="3"/>
    <s v="median"/>
    <n v="32"/>
    <s v="FP1"/>
    <n v="603"/>
    <n v="270"/>
    <n v="145"/>
    <n v="0.69072164948453607"/>
    <n v="0.80614973262032086"/>
    <n v="0.74398519432449106"/>
  </r>
  <r>
    <x v="0"/>
    <s v="S02/050921m"/>
    <s v="all_channel"/>
    <x v="0"/>
    <m/>
    <n v="32"/>
    <s v="FP1"/>
    <n v="1821"/>
    <n v="285"/>
    <n v="8"/>
    <n v="0.86467236467236464"/>
    <n v="0.99562602515035536"/>
    <n v="0.92554002541296043"/>
  </r>
  <r>
    <x v="0"/>
    <s v="S02/050921m"/>
    <s v="all_channel"/>
    <x v="1"/>
    <m/>
    <n v="32"/>
    <s v="FP1"/>
    <n v="1753"/>
    <n v="160"/>
    <n v="76"/>
    <n v="0.91636173549398836"/>
    <n v="0.95844723892837602"/>
    <n v="0.93693212185996799"/>
  </r>
  <r>
    <x v="0"/>
    <s v="S02/050921m"/>
    <s v="all_channel"/>
    <x v="2"/>
    <s v="mean"/>
    <n v="32"/>
    <s v="FP1"/>
    <n v="1659"/>
    <n v="96"/>
    <n v="170"/>
    <n v="0.94529914529914516"/>
    <n v="0.90705303444505203"/>
    <n v="0.92578125"/>
  </r>
  <r>
    <x v="0"/>
    <s v="S02/050921m"/>
    <s v="all_channel"/>
    <x v="3"/>
    <s v="median"/>
    <n v="32"/>
    <s v="FP1"/>
    <n v="1701"/>
    <n v="127"/>
    <n v="128"/>
    <n v="0.93052516411378561"/>
    <n v="0.93001640240568617"/>
    <n v="0.930270713699754"/>
  </r>
  <r>
    <x v="0"/>
    <s v="S12/060710_1m"/>
    <s v="all_channel"/>
    <x v="0"/>
    <m/>
    <n v="32"/>
    <s v="FP2"/>
    <n v="1074"/>
    <n v="957"/>
    <n v="13"/>
    <n v="0.52880354505169869"/>
    <n v="0.98804047838086484"/>
    <n v="0.68890314304041056"/>
  </r>
  <r>
    <x v="0"/>
    <s v="S12/060710_1m"/>
    <s v="all_channel"/>
    <x v="1"/>
    <m/>
    <n v="32"/>
    <s v="F7"/>
    <n v="797"/>
    <n v="460"/>
    <n v="290"/>
    <n v="0.63404932378679391"/>
    <n v="0.73321067157313713"/>
    <n v="0.68003412969283272"/>
  </r>
  <r>
    <x v="0"/>
    <s v="S12/060710_1m"/>
    <s v="all_channel"/>
    <x v="2"/>
    <s v="mean"/>
    <n v="32"/>
    <s v="FP2"/>
    <n v="953"/>
    <n v="406"/>
    <n v="134"/>
    <n v="0.70125091979396614"/>
    <n v="0.87672493100275994"/>
    <n v="0.77923139820114473"/>
  </r>
  <r>
    <x v="0"/>
    <s v="S12/060710_1m"/>
    <s v="all_channel"/>
    <x v="3"/>
    <s v="median"/>
    <n v="32"/>
    <s v="FP2"/>
    <n v="976"/>
    <n v="445"/>
    <n v="111"/>
    <n v="0.68684025334271637"/>
    <n v="0.89788408463661451"/>
    <n v="0.77830940988835717"/>
  </r>
  <r>
    <x v="0"/>
    <s v="S22/080513m"/>
    <s v="all_channel"/>
    <x v="0"/>
    <m/>
    <n v="32"/>
    <s v="F7"/>
    <n v="463"/>
    <n v="1017"/>
    <n v="21"/>
    <n v="0.31283783783783781"/>
    <n v="0.95661157024793397"/>
    <n v="0.47148676171079429"/>
  </r>
  <r>
    <x v="0"/>
    <s v="S22/080513m"/>
    <s v="all_channel"/>
    <x v="1"/>
    <m/>
    <n v="32"/>
    <s v="F8"/>
    <n v="383"/>
    <n v="809"/>
    <n v="101"/>
    <n v="0.32130872483221479"/>
    <n v="0.79132231404958675"/>
    <n v="0.45704057279236271"/>
  </r>
  <r>
    <x v="0"/>
    <s v="S22/080513m"/>
    <s v="all_channel"/>
    <x v="2"/>
    <s v="mean"/>
    <n v="32"/>
    <s v="FP1"/>
    <n v="474"/>
    <n v="428"/>
    <n v="10"/>
    <n v="0.5254988913525499"/>
    <n v="0.97933884297520657"/>
    <n v="0.68398268398268391"/>
  </r>
  <r>
    <x v="0"/>
    <s v="S22/080513m"/>
    <s v="all_channel"/>
    <x v="3"/>
    <s v="median"/>
    <n v="32"/>
    <s v="FP1"/>
    <n v="475"/>
    <n v="452"/>
    <n v="9"/>
    <n v="0.51240560949298808"/>
    <n v="0.98140495867768596"/>
    <n v="0.6732813607370659"/>
  </r>
  <r>
    <x v="0"/>
    <s v="S12/060710_2m"/>
    <s v="all_channel"/>
    <x v="0"/>
    <m/>
    <n v="32"/>
    <s v="FP1"/>
    <n v="947"/>
    <n v="822"/>
    <n v="10"/>
    <n v="0.53533069530808364"/>
    <n v="0.9895506792058516"/>
    <n v="0.69479090242112984"/>
  </r>
  <r>
    <x v="0"/>
    <s v="S12/060710_2m"/>
    <s v="all_channel"/>
    <x v="1"/>
    <m/>
    <n v="32"/>
    <s v="FP1"/>
    <n v="854"/>
    <n v="165"/>
    <n v="103"/>
    <n v="0.83807654563297351"/>
    <n v="0.89237199582027171"/>
    <n v="0.86437246963562753"/>
  </r>
  <r>
    <x v="0"/>
    <s v="S12/060710_2m"/>
    <s v="all_channel"/>
    <x v="2"/>
    <s v="mean"/>
    <n v="32"/>
    <s v="FP2"/>
    <n v="825"/>
    <n v="299"/>
    <n v="132"/>
    <n v="0.73398576512455516"/>
    <n v="0.86206896551724133"/>
    <n v="0.79288803459875057"/>
  </r>
  <r>
    <x v="0"/>
    <s v="S12/060710_2m"/>
    <s v="all_channel"/>
    <x v="3"/>
    <s v="median"/>
    <n v="32"/>
    <s v="FP2"/>
    <n v="844"/>
    <n v="344"/>
    <n v="113"/>
    <n v="0.71043771043771042"/>
    <n v="0.88192267502612331"/>
    <n v="0.78694638694638697"/>
  </r>
  <r>
    <x v="0"/>
    <s v="S11/060920_1n"/>
    <s v="all_channel"/>
    <x v="0"/>
    <m/>
    <n v="32"/>
    <s v="FP1"/>
    <n v="1640"/>
    <n v="410"/>
    <n v="3"/>
    <n v="0.8"/>
    <n v="0.99817407181984164"/>
    <n v="0.8881668020579474"/>
  </r>
  <r>
    <x v="0"/>
    <s v="S11/060920_1n"/>
    <s v="all_channel"/>
    <x v="1"/>
    <m/>
    <n v="32"/>
    <s v="FP2"/>
    <n v="240"/>
    <n v="300"/>
    <n v="1403"/>
    <n v="0.44444444444444442"/>
    <n v="0.1460742544126597"/>
    <n v="0.21988089784699949"/>
  </r>
  <r>
    <x v="0"/>
    <s v="S11/060920_1n"/>
    <s v="all_channel"/>
    <x v="2"/>
    <s v="mean"/>
    <n v="32"/>
    <s v="F8"/>
    <n v="1553"/>
    <n v="184"/>
    <n v="90"/>
    <n v="0.89407023603914793"/>
    <n v="0.94522215459525261"/>
    <n v="0.91893491124260362"/>
  </r>
  <r>
    <x v="0"/>
    <s v="S11/060920_1n"/>
    <s v="all_channel"/>
    <x v="3"/>
    <s v="median"/>
    <n v="32"/>
    <s v="F8"/>
    <n v="1569"/>
    <n v="238"/>
    <n v="74"/>
    <n v="0.86828998339789709"/>
    <n v="0.95496043822276322"/>
    <n v="0.90956521739130436"/>
  </r>
  <r>
    <x v="0"/>
    <s v="S05/060308n"/>
    <s v="all_channel"/>
    <x v="0"/>
    <m/>
    <n v="32"/>
    <s v="FP1"/>
    <n v="2760"/>
    <n v="675"/>
    <n v="48"/>
    <n v="0.80349344978165937"/>
    <n v="0.98290598290598274"/>
    <n v="0.88419029312830366"/>
  </r>
  <r>
    <x v="0"/>
    <s v="S05/060308n"/>
    <s v="all_channel"/>
    <x v="1"/>
    <m/>
    <n v="32"/>
    <s v="FZ"/>
    <n v="1867"/>
    <n v="1043"/>
    <n v="941"/>
    <n v="0.64158075601374576"/>
    <n v="0.66488603988603989"/>
    <n v="0.65302553340328795"/>
  </r>
  <r>
    <x v="0"/>
    <s v="S05/060308n"/>
    <s v="all_channel"/>
    <x v="2"/>
    <s v="mean"/>
    <n v="32"/>
    <s v="FP1"/>
    <n v="1588"/>
    <n v="227"/>
    <n v="1220"/>
    <n v="0.87493112947658402"/>
    <n v="0.56552706552706555"/>
    <n v="0.68699978369024439"/>
  </r>
  <r>
    <x v="0"/>
    <s v="S05/060308n"/>
    <s v="all_channel"/>
    <x v="3"/>
    <s v="median"/>
    <n v="32"/>
    <s v="FP1"/>
    <n v="1919"/>
    <n v="279"/>
    <n v="889"/>
    <n v="0.87306642402183798"/>
    <n v="0.68340455840455838"/>
    <n v="0.76667998401917703"/>
  </r>
  <r>
    <x v="0"/>
    <s v="S02/051115m"/>
    <s v="all_channel"/>
    <x v="0"/>
    <m/>
    <n v="32"/>
    <s v="FP1"/>
    <n v="2885"/>
    <n v="431"/>
    <n v="18"/>
    <n v="0.87002412545235219"/>
    <n v="0.99379951774026865"/>
    <n v="0.92780189741115915"/>
  </r>
  <r>
    <x v="0"/>
    <s v="S02/051115m"/>
    <s v="all_channel"/>
    <x v="1"/>
    <m/>
    <n v="32"/>
    <s v="FP2"/>
    <n v="2499"/>
    <n v="226"/>
    <n v="404"/>
    <n v="0.91706422018348621"/>
    <n v="0.86083362039269717"/>
    <n v="0.88805970149253732"/>
  </r>
  <r>
    <x v="0"/>
    <s v="S02/051115m"/>
    <s v="all_channel"/>
    <x v="2"/>
    <s v="mean"/>
    <n v="32"/>
    <s v="FP2"/>
    <n v="1624"/>
    <n v="42"/>
    <n v="1279"/>
    <n v="0.97478991596638642"/>
    <n v="0.5594212883224251"/>
    <n v="0.7108776537535566"/>
  </r>
  <r>
    <x v="0"/>
    <s v="S02/051115m"/>
    <s v="all_channel"/>
    <x v="3"/>
    <s v="median"/>
    <n v="32"/>
    <s v="FP2"/>
    <n v="2109"/>
    <n v="74"/>
    <n v="794"/>
    <n v="0.96610169491525422"/>
    <n v="0.72648983809851875"/>
    <n v="0.82933543059378678"/>
  </r>
  <r>
    <x v="0"/>
    <s v="S22/090825n"/>
    <s v="all_channel"/>
    <x v="0"/>
    <m/>
    <n v="32"/>
    <s v="F3"/>
    <n v="348"/>
    <n v="1506"/>
    <n v="34"/>
    <n v="0.18770226537216819"/>
    <n v="0.91099476439790561"/>
    <n v="0.31127012522361358"/>
  </r>
  <r>
    <x v="0"/>
    <s v="S22/090825n"/>
    <s v="all_channel"/>
    <x v="1"/>
    <m/>
    <n v="32"/>
    <s v="F8"/>
    <n v="315"/>
    <n v="698"/>
    <n v="67"/>
    <n v="0.31095755182625862"/>
    <n v="0.82460732984293195"/>
    <n v="0.45161290322580638"/>
  </r>
  <r>
    <x v="0"/>
    <s v="S22/090825n"/>
    <s v="all_channel"/>
    <x v="2"/>
    <s v="mean"/>
    <n v="32"/>
    <s v="FP1"/>
    <n v="372"/>
    <n v="469"/>
    <n v="10"/>
    <n v="0.44233055885850181"/>
    <n v="0.97382198952879584"/>
    <n v="0.60834014717906792"/>
  </r>
  <r>
    <x v="0"/>
    <s v="S22/090825n"/>
    <s v="all_channel"/>
    <x v="3"/>
    <s v="median"/>
    <n v="32"/>
    <s v="FP1"/>
    <n v="372"/>
    <n v="479"/>
    <n v="10"/>
    <n v="0.43713278495887192"/>
    <n v="0.97382198952879584"/>
    <n v="0.60340632603406319"/>
  </r>
  <r>
    <x v="0"/>
    <s v="S13/060213m"/>
    <s v="all_channel"/>
    <x v="0"/>
    <m/>
    <n v="32"/>
    <s v="FP2"/>
    <n v="1867"/>
    <n v="442"/>
    <n v="32"/>
    <n v="0.80857514075357295"/>
    <n v="0.98314902580305419"/>
    <n v="0.88735741444866922"/>
  </r>
  <r>
    <x v="0"/>
    <s v="S13/060213m"/>
    <s v="all_channel"/>
    <x v="1"/>
    <m/>
    <n v="32"/>
    <s v="FP1"/>
    <n v="1560"/>
    <n v="32"/>
    <n v="339"/>
    <n v="0.97989949748743721"/>
    <n v="0.82148499210110582"/>
    <n v="0.8937267258665138"/>
  </r>
  <r>
    <x v="0"/>
    <s v="S13/060213m"/>
    <s v="all_channel"/>
    <x v="2"/>
    <s v="mean"/>
    <n v="32"/>
    <s v="FP1"/>
    <n v="1668"/>
    <n v="59"/>
    <n v="231"/>
    <n v="0.96583671105964097"/>
    <n v="0.87835703001579779"/>
    <n v="0.92002206287920563"/>
  </r>
  <r>
    <x v="0"/>
    <s v="S13/060213m"/>
    <s v="all_channel"/>
    <x v="3"/>
    <s v="median"/>
    <n v="32"/>
    <s v="FP1"/>
    <n v="1696"/>
    <n v="66"/>
    <n v="203"/>
    <n v="0.96254256526674242"/>
    <n v="0.89310163243812535"/>
    <n v="0.92652280797596276"/>
  </r>
  <r>
    <x v="0"/>
    <s v="S06/051119m"/>
    <s v="all_channel"/>
    <x v="0"/>
    <m/>
    <n v="32"/>
    <s v="FP1"/>
    <n v="2158"/>
    <n v="391"/>
    <n v="4"/>
    <n v="0.84660651235778739"/>
    <n v="0.99814986123959282"/>
    <n v="0.91615368286987897"/>
  </r>
  <r>
    <x v="0"/>
    <s v="S06/051119m"/>
    <s v="all_channel"/>
    <x v="1"/>
    <m/>
    <n v="32"/>
    <s v="FP2"/>
    <n v="2123"/>
    <n v="197"/>
    <n v="39"/>
    <n v="0.91508620689655162"/>
    <n v="0.98196114708603144"/>
    <n v="0.94734493529674257"/>
  </r>
  <r>
    <x v="0"/>
    <s v="S06/051119m"/>
    <s v="all_channel"/>
    <x v="2"/>
    <s v="mean"/>
    <n v="32"/>
    <s v="FP2"/>
    <n v="2100"/>
    <n v="173"/>
    <n v="62"/>
    <n v="0.92388913330400357"/>
    <n v="0.97132284921369105"/>
    <n v="0.94701240135287501"/>
  </r>
  <r>
    <x v="0"/>
    <s v="S06/051119m"/>
    <s v="all_channel"/>
    <x v="3"/>
    <s v="median"/>
    <n v="32"/>
    <s v="FP2"/>
    <n v="2121"/>
    <n v="195"/>
    <n v="41"/>
    <n v="0.91580310880829019"/>
    <n v="0.98103607770582801"/>
    <n v="0.94729790084859322"/>
  </r>
  <r>
    <x v="0"/>
    <s v="S01/061102n"/>
    <s v="all_channel"/>
    <x v="0"/>
    <m/>
    <n v="32"/>
    <s v="FP1"/>
    <n v="2468"/>
    <n v="762"/>
    <n v="5"/>
    <n v="0.76408668730650153"/>
    <n v="0.99797816417306917"/>
    <n v="0.86550938102752939"/>
  </r>
  <r>
    <x v="0"/>
    <s v="S01/061102n"/>
    <s v="all_channel"/>
    <x v="1"/>
    <m/>
    <n v="32"/>
    <s v="T4"/>
    <n v="25"/>
    <n v="240"/>
    <n v="2448"/>
    <n v="9.4339622641509399E-2"/>
    <n v="1.01091791346542E-2"/>
    <n v="1.8261504747991202E-2"/>
  </r>
  <r>
    <x v="0"/>
    <s v="S01/061102n"/>
    <s v="all_channel"/>
    <x v="2"/>
    <s v="mean"/>
    <n v="32"/>
    <s v="FP1"/>
    <n v="2397"/>
    <n v="317"/>
    <n v="76"/>
    <n v="0.8831982313927782"/>
    <n v="0.96926809543065118"/>
    <n v="0.92423366107576643"/>
  </r>
  <r>
    <x v="0"/>
    <s v="S01/061102n"/>
    <s v="all_channel"/>
    <x v="3"/>
    <s v="median"/>
    <n v="32"/>
    <s v="FP1"/>
    <n v="2423"/>
    <n v="365"/>
    <n v="50"/>
    <n v="0.8690817790530847"/>
    <n v="0.9797816417306916"/>
    <n v="0.92111765823987835"/>
  </r>
  <r>
    <x v="0"/>
    <s v="S14/060319m"/>
    <s v="all_channel"/>
    <x v="0"/>
    <m/>
    <n v="32"/>
    <s v="FP1"/>
    <n v="2167"/>
    <n v="28"/>
    <n v="0"/>
    <n v="0.98724373576309798"/>
    <n v="1"/>
    <n v="0.99358092618065119"/>
  </r>
  <r>
    <x v="0"/>
    <s v="S14/060319m"/>
    <s v="all_channel"/>
    <x v="1"/>
    <m/>
    <n v="32"/>
    <s v="FP2"/>
    <n v="2165"/>
    <n v="64"/>
    <n v="2"/>
    <n v="0.97128757290264678"/>
    <n v="0.99907706506691285"/>
    <n v="0.9849863512283894"/>
  </r>
  <r>
    <x v="0"/>
    <s v="S14/060319m"/>
    <s v="all_channel"/>
    <x v="2"/>
    <s v="mean"/>
    <n v="32"/>
    <s v="FP1"/>
    <n v="2132"/>
    <n v="24"/>
    <n v="35"/>
    <n v="0.98886827458256044"/>
    <n v="0.98384863867097361"/>
    <n v="0.98635207032153605"/>
  </r>
  <r>
    <x v="0"/>
    <s v="S14/060319m"/>
    <s v="all_channel"/>
    <x v="3"/>
    <s v="median"/>
    <n v="32"/>
    <s v="FP1"/>
    <n v="2151"/>
    <n v="29"/>
    <n v="16"/>
    <n v="0.98669724770642198"/>
    <n v="0.99261652053530225"/>
    <n v="0.98964803312629401"/>
  </r>
  <r>
    <x v="0"/>
    <s v="S22/091006m"/>
    <s v="all_channel"/>
    <x v="0"/>
    <m/>
    <n v="32"/>
    <s v="FP2"/>
    <n v="935"/>
    <n v="1482"/>
    <n v="7"/>
    <n v="0.38684319404220108"/>
    <n v="0.99256900212314236"/>
    <n v="0.55671330753200354"/>
  </r>
  <r>
    <x v="0"/>
    <s v="S22/091006m"/>
    <s v="all_channel"/>
    <x v="1"/>
    <m/>
    <n v="32"/>
    <s v="FP2"/>
    <n v="832"/>
    <n v="419"/>
    <n v="110"/>
    <n v="0.66506794564348526"/>
    <n v="0.88322717622080682"/>
    <n v="0.75877792977656178"/>
  </r>
  <r>
    <x v="0"/>
    <s v="S22/091006m"/>
    <s v="all_channel"/>
    <x v="2"/>
    <s v="mean"/>
    <n v="32"/>
    <s v="FP1"/>
    <n v="896"/>
    <n v="463"/>
    <n v="46"/>
    <n v="0.65930831493745401"/>
    <n v="0.95116772823779205"/>
    <n v="0.77879182963928739"/>
  </r>
  <r>
    <x v="0"/>
    <s v="S22/091006m"/>
    <s v="all_channel"/>
    <x v="3"/>
    <s v="median"/>
    <n v="32"/>
    <s v="FP1"/>
    <n v="908"/>
    <n v="520"/>
    <n v="34"/>
    <n v="0.63585434173669464"/>
    <n v="0.96390658174097676"/>
    <n v="0.76624472573839653"/>
  </r>
  <r>
    <x v="0"/>
    <s v="S14/060319n"/>
    <s v="all_channel"/>
    <x v="0"/>
    <m/>
    <n v="32"/>
    <s v="FP1"/>
    <n v="2432"/>
    <n v="31"/>
    <n v="1"/>
    <n v="0.98741372310190823"/>
    <n v="0.99958898479243719"/>
    <n v="0.99346405228758161"/>
  </r>
  <r>
    <x v="0"/>
    <s v="S14/060319n"/>
    <s v="all_channel"/>
    <x v="1"/>
    <m/>
    <n v="32"/>
    <s v="FP2"/>
    <n v="2429"/>
    <n v="31"/>
    <n v="4"/>
    <n v="0.98739837398373997"/>
    <n v="0.99835593916974918"/>
    <n v="0.99284692417739639"/>
  </r>
  <r>
    <x v="0"/>
    <s v="S14/060319n"/>
    <s v="all_channel"/>
    <x v="2"/>
    <s v="mean"/>
    <n v="32"/>
    <s v="FP1"/>
    <n v="2403"/>
    <n v="21"/>
    <n v="30"/>
    <n v="0.99133663366336644"/>
    <n v="0.98766954377311955"/>
    <n v="0.98949969116738723"/>
  </r>
  <r>
    <x v="0"/>
    <s v="S14/060319n"/>
    <s v="all_channel"/>
    <x v="3"/>
    <s v="median"/>
    <n v="32"/>
    <s v="FP1"/>
    <n v="2423"/>
    <n v="26"/>
    <n v="10"/>
    <n v="0.98938342180481842"/>
    <n v="0.99588984792437318"/>
    <n v="0.9926259729619008"/>
  </r>
  <r>
    <x v="0"/>
    <s v="S35/070115m"/>
    <s v="all_channel"/>
    <x v="0"/>
    <m/>
    <n v="32"/>
    <s v="FP1"/>
    <n v="661"/>
    <n v="1655"/>
    <n v="0"/>
    <n v="0.28540587219343688"/>
    <n v="1"/>
    <n v="0.44407121263016458"/>
  </r>
  <r>
    <x v="0"/>
    <s v="S35/070115m"/>
    <s v="all_channel"/>
    <x v="1"/>
    <m/>
    <n v="32"/>
    <s v="FP1"/>
    <n v="268"/>
    <n v="60"/>
    <n v="393"/>
    <n v="0.81707317073170727"/>
    <n v="0.40544629349470501"/>
    <n v="0.54196157735085948"/>
  </r>
  <r>
    <x v="0"/>
    <s v="S35/070115m"/>
    <s v="all_channel"/>
    <x v="2"/>
    <s v="mean"/>
    <n v="32"/>
    <s v="F4"/>
    <n v="535"/>
    <n v="462"/>
    <n v="126"/>
    <n v="0.53660982948846536"/>
    <n v="0.80937972768532529"/>
    <n v="0.64535585042219545"/>
  </r>
  <r>
    <x v="0"/>
    <s v="S35/070115m"/>
    <s v="all_channel"/>
    <x v="3"/>
    <s v="median"/>
    <n v="32"/>
    <s v="F8"/>
    <n v="509"/>
    <n v="410"/>
    <n v="152"/>
    <n v="0.55386289445048964"/>
    <n v="0.77004538577912252"/>
    <n v="0.64430379746835431"/>
  </r>
  <r>
    <x v="0"/>
    <s v="S23/060711_1m"/>
    <s v="all_channel"/>
    <x v="0"/>
    <m/>
    <n v="32"/>
    <s v="FP1"/>
    <n v="1732"/>
    <n v="491"/>
    <n v="5"/>
    <n v="0.77912730544309494"/>
    <n v="0.99712147380541161"/>
    <n v="0.87474747474747483"/>
  </r>
  <r>
    <x v="0"/>
    <s v="S23/060711_1m"/>
    <s v="all_channel"/>
    <x v="1"/>
    <m/>
    <n v="32"/>
    <s v="FZ"/>
    <n v="1683"/>
    <n v="588"/>
    <n v="54"/>
    <n v="0.7410832232496698"/>
    <n v="0.9689119170984456"/>
    <n v="0.83982035928143717"/>
  </r>
  <r>
    <x v="0"/>
    <s v="S23/060711_1m"/>
    <s v="all_channel"/>
    <x v="2"/>
    <s v="mean"/>
    <n v="32"/>
    <s v="FP1"/>
    <n v="1702"/>
    <n v="285"/>
    <n v="35"/>
    <n v="0.85656768998490185"/>
    <n v="0.97985031663788136"/>
    <n v="0.91407089151450038"/>
  </r>
  <r>
    <x v="0"/>
    <s v="S23/060711_1m"/>
    <s v="all_channel"/>
    <x v="3"/>
    <s v="median"/>
    <n v="32"/>
    <s v="FP2"/>
    <n v="1695"/>
    <n v="302"/>
    <n v="42"/>
    <n v="0.84877315973960943"/>
    <n v="0.97582037996545756"/>
    <n v="0.90787359400107115"/>
  </r>
  <r>
    <x v="0"/>
    <s v="S41/080520m"/>
    <s v="all_channel"/>
    <x v="0"/>
    <m/>
    <n v="32"/>
    <s v="F4"/>
    <n v="513"/>
    <n v="940"/>
    <n v="36"/>
    <n v="0.3530626290433585"/>
    <n v="0.93442622950819676"/>
    <n v="0.51248751248751245"/>
  </r>
  <r>
    <x v="0"/>
    <s v="S41/080520m"/>
    <s v="all_channel"/>
    <x v="1"/>
    <m/>
    <n v="32"/>
    <s v="FP1"/>
    <n v="541"/>
    <n v="639"/>
    <n v="8"/>
    <n v="0.45847457627118637"/>
    <n v="0.98542805100182163"/>
    <n v="0.62579525737420472"/>
  </r>
  <r>
    <x v="0"/>
    <s v="S41/080520m"/>
    <s v="all_channel"/>
    <x v="2"/>
    <s v="mean"/>
    <n v="32"/>
    <s v="FP2"/>
    <n v="461"/>
    <n v="121"/>
    <n v="88"/>
    <n v="0.79209621993127144"/>
    <n v="0.83970856102003644"/>
    <n v="0.81520778072502209"/>
  </r>
  <r>
    <x v="0"/>
    <s v="S41/080520m"/>
    <s v="all_channel"/>
    <x v="3"/>
    <s v="median"/>
    <n v="32"/>
    <s v="FP2"/>
    <n v="475"/>
    <n v="148"/>
    <n v="74"/>
    <n v="0.7624398073836276"/>
    <n v="0.86520947176684881"/>
    <n v="0.81058020477815695"/>
  </r>
  <r>
    <x v="0"/>
    <s v="S05/061019m"/>
    <s v="all_channel"/>
    <x v="0"/>
    <m/>
    <n v="32"/>
    <s v="FP1"/>
    <n v="3176"/>
    <n v="1312"/>
    <n v="10"/>
    <n v="0.70766488413547235"/>
    <n v="0.9968612680477088"/>
    <n v="0.82772999739379716"/>
  </r>
  <r>
    <x v="0"/>
    <s v="S05/061019m"/>
    <s v="all_channel"/>
    <x v="1"/>
    <m/>
    <n v="32"/>
    <s v="FP1"/>
    <n v="2896"/>
    <n v="724"/>
    <n v="290"/>
    <n v="0.8"/>
    <n v="0.9089767733835532"/>
    <n v="0.85101381134293275"/>
  </r>
  <r>
    <x v="0"/>
    <s v="S05/061019m"/>
    <s v="all_channel"/>
    <x v="2"/>
    <s v="mean"/>
    <n v="32"/>
    <s v="FP1"/>
    <n v="2439"/>
    <n v="495"/>
    <n v="747"/>
    <n v="0.83128834355828218"/>
    <n v="0.7655367231638418"/>
    <n v="0.79705882352941171"/>
  </r>
  <r>
    <x v="0"/>
    <s v="S05/061019m"/>
    <s v="all_channel"/>
    <x v="3"/>
    <s v="median"/>
    <n v="32"/>
    <s v="FP1"/>
    <n v="2640"/>
    <n v="566"/>
    <n v="546"/>
    <n v="0.82345601996257023"/>
    <n v="0.82862523540489641"/>
    <n v="0.82603254067584475"/>
  </r>
  <r>
    <x v="0"/>
    <s v="S41/080530n"/>
    <s v="all_channel"/>
    <x v="0"/>
    <m/>
    <n v="32"/>
    <s v="F4"/>
    <n v="507"/>
    <n v="949"/>
    <n v="76"/>
    <n v="0.3482142857142857"/>
    <n v="0.869639794168096"/>
    <n v="0.49730259931338888"/>
  </r>
  <r>
    <x v="0"/>
    <s v="S41/080530n"/>
    <s v="all_channel"/>
    <x v="1"/>
    <m/>
    <n v="32"/>
    <s v="FP1"/>
    <n v="549"/>
    <n v="518"/>
    <n v="34"/>
    <n v="0.51452671040299902"/>
    <n v="0.94168096054888517"/>
    <n v="0.66545454545454541"/>
  </r>
  <r>
    <x v="0"/>
    <s v="S41/080530n"/>
    <s v="all_channel"/>
    <x v="2"/>
    <s v="mean"/>
    <n v="32"/>
    <s v="FP2"/>
    <n v="447"/>
    <n v="95"/>
    <n v="136"/>
    <n v="0.82472324723247237"/>
    <n v="0.76672384219554035"/>
    <n v="0.79466666666666674"/>
  </r>
  <r>
    <x v="0"/>
    <s v="S41/080530n"/>
    <s v="all_channel"/>
    <x v="3"/>
    <s v="median"/>
    <n v="32"/>
    <s v="FP2"/>
    <n v="486"/>
    <n v="170"/>
    <n v="97"/>
    <n v="0.74085365853658536"/>
    <n v="0.83361921097770153"/>
    <n v="0.78450363196125905"/>
  </r>
  <r>
    <x v="0"/>
    <s v="S31/061020m"/>
    <s v="all_channel"/>
    <x v="0"/>
    <m/>
    <n v="32"/>
    <s v="FP1"/>
    <n v="1447"/>
    <n v="2306"/>
    <n v="29"/>
    <n v="0.38555822009059421"/>
    <n v="0.98035230352303515"/>
    <n v="0.55345190284949319"/>
  </r>
  <r>
    <x v="0"/>
    <s v="S31/061020m"/>
    <s v="all_channel"/>
    <x v="1"/>
    <m/>
    <n v="32"/>
    <s v="F8"/>
    <n v="24"/>
    <n v="64"/>
    <n v="1452"/>
    <n v="0.27272727272727271"/>
    <n v="1.6260162601626001E-2"/>
    <n v="3.0690537084398901E-2"/>
  </r>
  <r>
    <x v="0"/>
    <s v="S31/061020m"/>
    <s v="all_channel"/>
    <x v="2"/>
    <s v="mean"/>
    <n v="32"/>
    <s v="FP1"/>
    <n v="519"/>
    <n v="127"/>
    <n v="957"/>
    <n v="0.80340557275541791"/>
    <n v="0.3516260162601626"/>
    <n v="0.4891611687087653"/>
  </r>
  <r>
    <x v="0"/>
    <s v="S31/061020m"/>
    <s v="all_channel"/>
    <x v="3"/>
    <s v="median"/>
    <n v="32"/>
    <s v="FP1"/>
    <n v="579"/>
    <n v="142"/>
    <n v="897"/>
    <n v="0.80305131761442439"/>
    <n v="0.39227642276422758"/>
    <n v="0.52708238507055072"/>
  </r>
  <r>
    <x v="0"/>
    <s v="S31/061103n"/>
    <s v="all_channel"/>
    <x v="0"/>
    <m/>
    <n v="32"/>
    <s v="FP2"/>
    <n v="1947"/>
    <n v="1763"/>
    <n v="25"/>
    <n v="0.5247978436657682"/>
    <n v="0.98732251521298176"/>
    <n v="0.68532206969376974"/>
  </r>
  <r>
    <x v="0"/>
    <s v="S31/061103n"/>
    <s v="all_channel"/>
    <x v="1"/>
    <m/>
    <n v="32"/>
    <s v="FZ"/>
    <n v="419"/>
    <n v="176"/>
    <n v="1553"/>
    <n v="0.70420168067226896"/>
    <n v="0.2124746450304259"/>
    <n v="0.32645111024542273"/>
  </r>
  <r>
    <x v="0"/>
    <s v="S31/061103n"/>
    <s v="all_channel"/>
    <x v="2"/>
    <s v="mean"/>
    <n v="32"/>
    <s v="FP2"/>
    <n v="903"/>
    <n v="114"/>
    <n v="1069"/>
    <n v="0.88790560471976399"/>
    <n v="0.4579107505070994"/>
    <n v="0.60421545667447307"/>
  </r>
  <r>
    <x v="0"/>
    <s v="S31/061103n"/>
    <s v="all_channel"/>
    <x v="3"/>
    <s v="median"/>
    <n v="32"/>
    <s v="FP2"/>
    <n v="1005"/>
    <n v="144"/>
    <n v="967"/>
    <n v="0.87467362924281988"/>
    <n v="0.50963488843813387"/>
    <n v="0.64402435116949697"/>
  </r>
  <r>
    <x v="0"/>
    <s v="S40/070131m"/>
    <s v="all_channel"/>
    <x v="0"/>
    <m/>
    <n v="32"/>
    <s v="FP1"/>
    <n v="1671"/>
    <n v="1868"/>
    <n v="9"/>
    <n v="0.47216727889234239"/>
    <n v="0.99464285714285716"/>
    <n v="0.6403525579612952"/>
  </r>
  <r>
    <x v="0"/>
    <s v="S40/070131m"/>
    <s v="all_channel"/>
    <x v="1"/>
    <m/>
    <n v="32"/>
    <s v="FP2"/>
    <n v="4"/>
    <n v="12"/>
    <n v="1676"/>
    <n v="0.25"/>
    <n v="2.3809523809523001E-3"/>
    <n v="4.7169811320754004E-3"/>
  </r>
  <r>
    <x v="0"/>
    <s v="S40/070131m"/>
    <s v="all_channel"/>
    <x v="2"/>
    <s v="mean"/>
    <n v="32"/>
    <s v="FP1"/>
    <n v="1536"/>
    <n v="1046"/>
    <n v="144"/>
    <n v="0.59488768396591785"/>
    <n v="0.91428571428571437"/>
    <n v="0.720788362271234"/>
  </r>
  <r>
    <x v="0"/>
    <s v="S40/070131m"/>
    <s v="all_channel"/>
    <x v="3"/>
    <s v="median"/>
    <n v="32"/>
    <s v="FP1"/>
    <n v="1546"/>
    <n v="1105"/>
    <n v="134"/>
    <n v="0.58317615993964544"/>
    <n v="0.92023809523809519"/>
    <n v="0.71392288155160477"/>
  </r>
  <r>
    <x v="0"/>
    <s v="S41/090813m"/>
    <s v="all_channel"/>
    <x v="0"/>
    <m/>
    <n v="32"/>
    <s v="FP1"/>
    <n v="742"/>
    <n v="1841"/>
    <n v="1"/>
    <n v="0.2872628726287263"/>
    <n v="0.99865410497981155"/>
    <n v="0.4461815995189416"/>
  </r>
  <r>
    <x v="0"/>
    <s v="S41/090813m"/>
    <s v="all_channel"/>
    <x v="1"/>
    <m/>
    <n v="32"/>
    <s v="F7"/>
    <n v="716"/>
    <n v="1841"/>
    <n v="27"/>
    <n v="0.28001564333202972"/>
    <n v="0.96366083445491235"/>
    <n v="0.43393939393939379"/>
  </r>
  <r>
    <x v="0"/>
    <s v="S41/090813m"/>
    <s v="all_channel"/>
    <x v="2"/>
    <s v="mean"/>
    <n v="32"/>
    <s v="FP2"/>
    <n v="599"/>
    <n v="240"/>
    <n v="144"/>
    <n v="0.71394517282479142"/>
    <n v="0.80619111709286673"/>
    <n v="0.75726927939317312"/>
  </r>
  <r>
    <x v="0"/>
    <s v="S41/090813m"/>
    <s v="all_channel"/>
    <x v="3"/>
    <s v="median"/>
    <n v="32"/>
    <s v="FP2"/>
    <n v="623"/>
    <n v="273"/>
    <n v="120"/>
    <n v="0.6953125"/>
    <n v="0.83849259757738892"/>
    <n v="0.76021964612568638"/>
  </r>
  <r>
    <x v="0"/>
    <s v="S35/070322n"/>
    <s v="all_channel"/>
    <x v="0"/>
    <m/>
    <n v="32"/>
    <s v="FP2"/>
    <n v="1476"/>
    <n v="906"/>
    <n v="5"/>
    <n v="0.61964735516372793"/>
    <n v="0.99662390276839963"/>
    <n v="0.76417292259901637"/>
  </r>
  <r>
    <x v="0"/>
    <s v="S35/070322n"/>
    <s v="all_channel"/>
    <x v="1"/>
    <m/>
    <n v="32"/>
    <s v="FZ"/>
    <n v="1439"/>
    <n v="1301"/>
    <n v="42"/>
    <n v="0.5251824817518248"/>
    <n v="0.97164078325455761"/>
    <n v="0.68182895048566694"/>
  </r>
  <r>
    <x v="0"/>
    <s v="S35/070322n"/>
    <s v="all_channel"/>
    <x v="2"/>
    <s v="mean"/>
    <n v="32"/>
    <s v="FP2"/>
    <n v="1460"/>
    <n v="534"/>
    <n v="21"/>
    <n v="0.7321965897693079"/>
    <n v="0.98582039162727875"/>
    <n v="0.84028776978417263"/>
  </r>
  <r>
    <x v="0"/>
    <s v="S35/070322n"/>
    <s v="all_channel"/>
    <x v="3"/>
    <s v="median"/>
    <n v="32"/>
    <s v="FP2"/>
    <n v="1463"/>
    <n v="563"/>
    <n v="18"/>
    <n v="0.72211253701875622"/>
    <n v="0.98784604996623904"/>
    <n v="0.83433133732534936"/>
  </r>
  <r>
    <x v="0"/>
    <s v="S49/080522n"/>
    <s v="all_channel"/>
    <x v="0"/>
    <m/>
    <n v="32"/>
    <s v="T4"/>
    <n v="347"/>
    <n v="255"/>
    <n v="95"/>
    <n v="0.57641196013289031"/>
    <n v="0.78506787330316741"/>
    <n v="0.66475095785440619"/>
  </r>
  <r>
    <x v="0"/>
    <s v="S49/080522n"/>
    <s v="all_channel"/>
    <x v="1"/>
    <m/>
    <n v="32"/>
    <s v="FP1"/>
    <n v="418"/>
    <n v="7"/>
    <n v="24"/>
    <n v="0.98352941176470599"/>
    <n v="0.94570135746606321"/>
    <n v="0.9642445213379468"/>
  </r>
  <r>
    <x v="0"/>
    <s v="S49/080522n"/>
    <s v="all_channel"/>
    <x v="2"/>
    <s v="mean"/>
    <n v="32"/>
    <s v="FZ"/>
    <n v="429"/>
    <n v="16"/>
    <n v="13"/>
    <n v="0.96404494382022476"/>
    <n v="0.97058823529411764"/>
    <n v="0.96730552423900795"/>
  </r>
  <r>
    <x v="0"/>
    <s v="S49/080522n"/>
    <s v="all_channel"/>
    <x v="3"/>
    <s v="median"/>
    <n v="32"/>
    <s v="FZ"/>
    <n v="431"/>
    <n v="23"/>
    <n v="11"/>
    <n v="0.9493392070484582"/>
    <n v="0.97511312217194557"/>
    <n v="0.9620535714285714"/>
  </r>
  <r>
    <x v="0"/>
    <s v="S48/080501n"/>
    <s v="all_channel"/>
    <x v="0"/>
    <m/>
    <n v="32"/>
    <s v="F3"/>
    <n v="440"/>
    <n v="604"/>
    <n v="51"/>
    <n v="0.42145593869731801"/>
    <n v="0.89613034623217924"/>
    <n v="0.57328990228013021"/>
  </r>
  <r>
    <x v="0"/>
    <s v="S48/080501n"/>
    <s v="all_channel"/>
    <x v="1"/>
    <m/>
    <n v="32"/>
    <s v="FT7"/>
    <n v="384"/>
    <n v="405"/>
    <n v="107"/>
    <n v="0.48669201520912547"/>
    <n v="0.7820773930753564"/>
    <n v="0.60000000000000009"/>
  </r>
  <r>
    <x v="0"/>
    <s v="S48/080501n"/>
    <s v="all_channel"/>
    <x v="2"/>
    <s v="mean"/>
    <n v="32"/>
    <s v="FP1"/>
    <n v="475"/>
    <n v="168"/>
    <n v="16"/>
    <n v="0.73872472783825816"/>
    <n v="0.96741344195519363"/>
    <n v="0.83774250440917108"/>
  </r>
  <r>
    <x v="0"/>
    <s v="S48/080501n"/>
    <s v="all_channel"/>
    <x v="3"/>
    <s v="median"/>
    <n v="32"/>
    <s v="FP1"/>
    <n v="479"/>
    <n v="182"/>
    <n v="12"/>
    <n v="0.72465960665658091"/>
    <n v="0.97556008146639517"/>
    <n v="0.83159722222222221"/>
  </r>
  <r>
    <x v="0"/>
    <s v="S41/061225n"/>
    <s v="all_channel"/>
    <x v="0"/>
    <m/>
    <n v="32"/>
    <s v="FP1"/>
    <n v="2658"/>
    <n v="792"/>
    <n v="14"/>
    <n v="0.77043478260869569"/>
    <n v="0.994760479041916"/>
    <n v="0.86834367853642602"/>
  </r>
  <r>
    <x v="0"/>
    <s v="S41/061225n"/>
    <s v="all_channel"/>
    <x v="1"/>
    <m/>
    <n v="32"/>
    <s v="F7"/>
    <n v="190"/>
    <n v="383"/>
    <n v="2482"/>
    <n v="0.331588132635253"/>
    <n v="7.1107784431137702E-2"/>
    <n v="0.1171032357473035"/>
  </r>
  <r>
    <x v="0"/>
    <s v="S41/061225n"/>
    <s v="all_channel"/>
    <x v="2"/>
    <s v="mean"/>
    <n v="32"/>
    <s v="FP1"/>
    <n v="2244"/>
    <n v="186"/>
    <n v="428"/>
    <n v="0.92345679012345683"/>
    <n v="0.83982035928143717"/>
    <n v="0.87965503724029803"/>
  </r>
  <r>
    <x v="0"/>
    <s v="S41/061225n"/>
    <s v="all_channel"/>
    <x v="3"/>
    <s v="median"/>
    <n v="32"/>
    <s v="FP1"/>
    <n v="2372"/>
    <n v="264"/>
    <n v="300"/>
    <n v="0.89984825493171472"/>
    <n v="0.88772455089820357"/>
    <n v="0.89374529012810844"/>
  </r>
  <r>
    <x v="0"/>
    <s v="S41/091104n"/>
    <s v="all_channel"/>
    <x v="0"/>
    <m/>
    <n v="32"/>
    <s v="FP1"/>
    <n v="1783"/>
    <n v="814"/>
    <n v="3"/>
    <n v="0.68656141701963802"/>
    <n v="0.99832026875699875"/>
    <n v="0.81359799224275609"/>
  </r>
  <r>
    <x v="0"/>
    <s v="S41/091104n"/>
    <s v="all_channel"/>
    <x v="1"/>
    <m/>
    <n v="32"/>
    <s v="FP1"/>
    <n v="1713"/>
    <n v="476"/>
    <n v="73"/>
    <n v="0.78254910918227505"/>
    <n v="0.95912653975363937"/>
    <n v="0.86188679245283017"/>
  </r>
  <r>
    <x v="0"/>
    <s v="S41/091104n"/>
    <s v="all_channel"/>
    <x v="2"/>
    <s v="mean"/>
    <n v="32"/>
    <s v="FP2"/>
    <n v="1737"/>
    <n v="511"/>
    <n v="49"/>
    <n v="0.77268683274021355"/>
    <n v="0.97256438969764836"/>
    <n v="0.86117997025285076"/>
  </r>
  <r>
    <x v="0"/>
    <s v="S41/091104n"/>
    <s v="all_channel"/>
    <x v="3"/>
    <s v="median"/>
    <n v="32"/>
    <s v="FP2"/>
    <n v="1739"/>
    <n v="525"/>
    <n v="47"/>
    <n v="0.76810954063604242"/>
    <n v="0.97368421052631582"/>
    <n v="0.85876543209876544"/>
  </r>
  <r>
    <x v="0"/>
    <s v="S49/080527n"/>
    <s v="all_channel"/>
    <x v="0"/>
    <m/>
    <n v="32"/>
    <s v="T4"/>
    <n v="110"/>
    <n v="558"/>
    <n v="64"/>
    <n v="0.1646706586826347"/>
    <n v="0.63218390804597702"/>
    <n v="0.26128266033254149"/>
  </r>
  <r>
    <x v="0"/>
    <s v="S49/080527n"/>
    <s v="all_channel"/>
    <x v="1"/>
    <m/>
    <n v="32"/>
    <s v="F8"/>
    <n v="118"/>
    <n v="68"/>
    <n v="56"/>
    <n v="0.63440860215053763"/>
    <n v="0.67816091954022983"/>
    <n v="0.65555555555555556"/>
  </r>
  <r>
    <x v="0"/>
    <s v="S49/080527n"/>
    <s v="all_channel"/>
    <x v="2"/>
    <s v="mean"/>
    <n v="32"/>
    <s v="F4"/>
    <n v="141"/>
    <n v="191"/>
    <n v="33"/>
    <n v="0.4246987951807229"/>
    <n v="0.81034482758620685"/>
    <n v="0.55731225296442688"/>
  </r>
  <r>
    <x v="0"/>
    <s v="S49/080527n"/>
    <s v="all_channel"/>
    <x v="3"/>
    <s v="median"/>
    <n v="32"/>
    <s v="F7"/>
    <n v="149"/>
    <n v="212"/>
    <n v="25"/>
    <n v="0.41274238227146809"/>
    <n v="0.85632183908045978"/>
    <n v="0.55700934579439254"/>
  </r>
  <r>
    <x v="0"/>
    <s v="S42/070105n"/>
    <s v="all_channel"/>
    <x v="0"/>
    <m/>
    <n v="32"/>
    <s v="FP2"/>
    <n v="1292"/>
    <n v="1845"/>
    <n v="23"/>
    <n v="0.41185846350015931"/>
    <n v="0.98250950570342199"/>
    <n v="0.58041329739442937"/>
  </r>
  <r>
    <x v="0"/>
    <s v="S42/070105n"/>
    <s v="all_channel"/>
    <x v="1"/>
    <m/>
    <n v="32"/>
    <s v="F3"/>
    <n v="68"/>
    <n v="158"/>
    <n v="1247"/>
    <n v="0.30088495575221241"/>
    <n v="5.1711026615969498E-2"/>
    <n v="8.8254380272550198E-2"/>
  </r>
  <r>
    <x v="0"/>
    <s v="S42/070105n"/>
    <s v="all_channel"/>
    <x v="2"/>
    <s v="mean"/>
    <n v="32"/>
    <s v="FP1"/>
    <n v="1107"/>
    <n v="1148"/>
    <n v="208"/>
    <n v="0.49090909090909091"/>
    <n v="0.84182509505703418"/>
    <n v="0.62016806722689077"/>
  </r>
  <r>
    <x v="0"/>
    <s v="S42/070105n"/>
    <s v="all_channel"/>
    <x v="3"/>
    <s v="median"/>
    <n v="32"/>
    <s v="FP1"/>
    <n v="1127"/>
    <n v="1165"/>
    <n v="188"/>
    <n v="0.4917102966841187"/>
    <n v="0.85703422053231937"/>
    <n v="0.62489603548655392"/>
  </r>
  <r>
    <x v="0"/>
    <s v="S44/070205n"/>
    <s v="all_channel"/>
    <x v="0"/>
    <m/>
    <n v="32"/>
    <s v="FC4"/>
    <n v="1007"/>
    <n v="1599"/>
    <n v="95"/>
    <n v="0.386415963161934"/>
    <n v="0.91379310344827602"/>
    <n v="0.54314994606256739"/>
  </r>
  <r>
    <x v="0"/>
    <s v="S44/070205n"/>
    <s v="all_channel"/>
    <x v="1"/>
    <m/>
    <n v="32"/>
    <s v="FZ"/>
    <n v="746"/>
    <n v="642"/>
    <n v="356"/>
    <n v="0.53746397694524495"/>
    <n v="0.67695099818511795"/>
    <n v="0.59919678714859448"/>
  </r>
  <r>
    <x v="0"/>
    <s v="S44/070205n"/>
    <s v="all_channel"/>
    <x v="2"/>
    <s v="mean"/>
    <n v="32"/>
    <s v="FP2"/>
    <n v="1034"/>
    <n v="607"/>
    <n v="68"/>
    <n v="0.63010359536867766"/>
    <n v="0.93829401088929221"/>
    <n v="0.75391906671527531"/>
  </r>
  <r>
    <x v="0"/>
    <s v="S44/070205n"/>
    <s v="all_channel"/>
    <x v="3"/>
    <s v="median"/>
    <n v="32"/>
    <s v="FP2"/>
    <n v="1039"/>
    <n v="632"/>
    <n v="63"/>
    <n v="0.62178336325553563"/>
    <n v="0.94283121597096198"/>
    <n v="0.7493689145329967"/>
  </r>
  <r>
    <x v="0"/>
    <s v="S44/070325n"/>
    <s v="all_channel"/>
    <x v="0"/>
    <m/>
    <n v="32"/>
    <s v="FP1"/>
    <n v="1273"/>
    <n v="1537"/>
    <n v="6"/>
    <n v="0.45302491103202841"/>
    <n v="0.99530883502736522"/>
    <n v="0.6226461237466373"/>
  </r>
  <r>
    <x v="0"/>
    <s v="S44/070325n"/>
    <s v="all_channel"/>
    <x v="1"/>
    <m/>
    <n v="32"/>
    <s v="A2"/>
    <n v="4"/>
    <n v="62"/>
    <n v="1275"/>
    <n v="6.0606060606060601E-2"/>
    <n v="3.1274433150899001E-3"/>
    <n v="5.9479553903345004E-3"/>
  </r>
  <r>
    <x v="0"/>
    <s v="S44/070325n"/>
    <s v="all_channel"/>
    <x v="2"/>
    <s v="mean"/>
    <n v="32"/>
    <s v="FP2"/>
    <n v="1227"/>
    <n v="478"/>
    <n v="52"/>
    <n v="0.71964809384164219"/>
    <n v="0.95934323690383116"/>
    <n v="0.82238605898123329"/>
  </r>
  <r>
    <x v="0"/>
    <s v="S44/070325n"/>
    <s v="all_channel"/>
    <x v="3"/>
    <s v="median"/>
    <n v="32"/>
    <s v="FP2"/>
    <n v="1234"/>
    <n v="519"/>
    <n v="45"/>
    <n v="0.70393610952652597"/>
    <n v="0.96481626270523835"/>
    <n v="0.81398416886543534"/>
  </r>
  <r>
    <x v="0"/>
    <s v="S05/061101n"/>
    <s v="all_channel"/>
    <x v="0"/>
    <m/>
    <n v="32"/>
    <s v="FP1"/>
    <n v="3780"/>
    <n v="978"/>
    <n v="7"/>
    <n v="0.79445145018915508"/>
    <n v="0.99815157116451003"/>
    <n v="0.88472791105909887"/>
  </r>
  <r>
    <x v="0"/>
    <s v="S05/061101n"/>
    <s v="all_channel"/>
    <x v="1"/>
    <m/>
    <n v="32"/>
    <s v="FC3"/>
    <n v="2552"/>
    <n v="1000"/>
    <n v="1235"/>
    <n v="0.71846846846846846"/>
    <n v="0.67388434116715079"/>
    <n v="0.69546259708407132"/>
  </r>
  <r>
    <x v="0"/>
    <s v="S05/061101n"/>
    <s v="all_channel"/>
    <x v="2"/>
    <s v="mean"/>
    <n v="32"/>
    <s v="FP1"/>
    <n v="3514"/>
    <n v="459"/>
    <n v="273"/>
    <n v="0.88447017367228797"/>
    <n v="0.92791127541589635"/>
    <n v="0.90567010309278362"/>
  </r>
  <r>
    <x v="0"/>
    <s v="S05/061101n"/>
    <s v="all_channel"/>
    <x v="3"/>
    <s v="median"/>
    <n v="32"/>
    <s v="FP1"/>
    <n v="3610"/>
    <n v="509"/>
    <n v="177"/>
    <n v="0.87642631706724938"/>
    <n v="0.95326115658832844"/>
    <n v="0.91323045788009116"/>
  </r>
  <r>
    <x v="0"/>
    <s v="S52/081017n"/>
    <s v="all_channel"/>
    <x v="0"/>
    <m/>
    <n v="32"/>
    <s v="FP1"/>
    <n v="479"/>
    <n v="590"/>
    <n v="0"/>
    <n v="0.44808231992516367"/>
    <n v="1"/>
    <n v="0.61886304909560719"/>
  </r>
  <r>
    <x v="0"/>
    <s v="S52/081017n"/>
    <s v="all_channel"/>
    <x v="1"/>
    <m/>
    <n v="32"/>
    <s v="FZ"/>
    <n v="413"/>
    <n v="71"/>
    <n v="66"/>
    <n v="0.85330578512396693"/>
    <n v="0.86221294363256784"/>
    <n v="0.85773624091381095"/>
  </r>
  <r>
    <x v="0"/>
    <s v="S52/081017n"/>
    <s v="all_channel"/>
    <x v="2"/>
    <s v="mean"/>
    <n v="32"/>
    <s v="FCZ"/>
    <n v="467"/>
    <n v="193"/>
    <n v="12"/>
    <n v="0.70757575757575752"/>
    <n v="0.97494780793319402"/>
    <n v="0.82001755926251085"/>
  </r>
  <r>
    <x v="0"/>
    <s v="S52/081017n"/>
    <s v="all_channel"/>
    <x v="3"/>
    <s v="median"/>
    <n v="32"/>
    <s v="FCZ"/>
    <n v="467"/>
    <n v="207"/>
    <n v="12"/>
    <n v="0.69287833827893175"/>
    <n v="0.97494780793319402"/>
    <n v="0.81006071118820477"/>
  </r>
  <r>
    <x v="0"/>
    <s v="S53/081018n"/>
    <s v="all_channel"/>
    <x v="0"/>
    <m/>
    <n v="32"/>
    <s v="FP1"/>
    <n v="680"/>
    <n v="590"/>
    <n v="3"/>
    <n v="0.53543307086614178"/>
    <n v="0.99560761346998539"/>
    <n v="0.69636456733230934"/>
  </r>
  <r>
    <x v="0"/>
    <s v="S53/081018n"/>
    <s v="all_channel"/>
    <x v="1"/>
    <m/>
    <n v="32"/>
    <s v="FP1"/>
    <n v="652"/>
    <n v="154"/>
    <n v="31"/>
    <n v="0.80893300248138955"/>
    <n v="0.9546120058565154"/>
    <n v="0.87575554063129613"/>
  </r>
  <r>
    <x v="0"/>
    <s v="S53/081018n"/>
    <s v="all_channel"/>
    <x v="2"/>
    <s v="mean"/>
    <n v="32"/>
    <s v="F7"/>
    <n v="631"/>
    <n v="157"/>
    <n v="52"/>
    <n v="0.800761421319797"/>
    <n v="0.92386530014641277"/>
    <n v="0.85791978246091094"/>
  </r>
  <r>
    <x v="0"/>
    <s v="S53/081018n"/>
    <s v="all_channel"/>
    <x v="3"/>
    <s v="median"/>
    <n v="32"/>
    <s v="F3"/>
    <n v="623"/>
    <n v="152"/>
    <n v="60"/>
    <n v="0.80387096774193545"/>
    <n v="0.91215226939970717"/>
    <n v="0.85459533607681748"/>
  </r>
  <r>
    <x v="0"/>
    <s v="S54/081226m"/>
    <s v="all_channel"/>
    <x v="0"/>
    <m/>
    <n v="32"/>
    <s v="FP2"/>
    <n v="263"/>
    <n v="776"/>
    <n v="1"/>
    <n v="0.25312800769971128"/>
    <n v="0.99621212121212122"/>
    <n v="0.40368380660015352"/>
  </r>
  <r>
    <x v="0"/>
    <s v="S54/081226m"/>
    <s v="all_channel"/>
    <x v="1"/>
    <m/>
    <n v="32"/>
    <s v="FP2"/>
    <n v="222"/>
    <n v="116"/>
    <n v="42"/>
    <n v="0.65680473372781067"/>
    <n v="0.84090909090909094"/>
    <n v="0.73754152823920271"/>
  </r>
  <r>
    <x v="0"/>
    <s v="S54/081226m"/>
    <s v="all_channel"/>
    <x v="2"/>
    <s v="mean"/>
    <n v="32"/>
    <s v="F3"/>
    <n v="188"/>
    <n v="117"/>
    <n v="76"/>
    <n v="0.61639344262295082"/>
    <n v="0.71212121212121215"/>
    <n v="0.66080843585237259"/>
  </r>
  <r>
    <x v="0"/>
    <s v="S54/081226m"/>
    <s v="all_channel"/>
    <x v="3"/>
    <s v="median"/>
    <n v="32"/>
    <s v="F3"/>
    <n v="194"/>
    <n v="131"/>
    <n v="70"/>
    <n v="0.59692307692307689"/>
    <n v="0.73484848484848486"/>
    <n v="0.65874363327674024"/>
  </r>
  <r>
    <x v="0"/>
    <s v="S44/070126m"/>
    <s v="all_channel"/>
    <x v="0"/>
    <m/>
    <n v="32"/>
    <s v="FP1"/>
    <n v="1807"/>
    <n v="1303"/>
    <n v="6"/>
    <n v="0.58102893890675245"/>
    <n v="0.99669056811913959"/>
    <n v="0.73410522039406867"/>
  </r>
  <r>
    <x v="0"/>
    <s v="S44/070126m"/>
    <s v="all_channel"/>
    <x v="1"/>
    <m/>
    <n v="32"/>
    <s v="FZ"/>
    <n v="445"/>
    <n v="1246"/>
    <n v="1368"/>
    <n v="0.26315789473684209"/>
    <n v="0.24544953116381679"/>
    <n v="0.25399543378995432"/>
  </r>
  <r>
    <x v="0"/>
    <s v="S44/070126m"/>
    <s v="all_channel"/>
    <x v="2"/>
    <s v="mean"/>
    <n v="32"/>
    <s v="FP1"/>
    <n v="1759"/>
    <n v="424"/>
    <n v="54"/>
    <n v="0.80577187356848379"/>
    <n v="0.97021511307225605"/>
    <n v="0.88038038038038036"/>
  </r>
  <r>
    <x v="0"/>
    <s v="S44/070126m"/>
    <s v="all_channel"/>
    <x v="3"/>
    <s v="median"/>
    <n v="32"/>
    <s v="FP1"/>
    <n v="1766"/>
    <n v="458"/>
    <n v="47"/>
    <n v="0.7940647482014388"/>
    <n v="0.97407611693325979"/>
    <n v="0.8749071092395343"/>
  </r>
  <r>
    <x v="0"/>
    <s v="S45/070321n"/>
    <s v="all_channel"/>
    <x v="0"/>
    <m/>
    <n v="32"/>
    <s v="FP2"/>
    <n v="1412"/>
    <n v="1639"/>
    <n v="7"/>
    <n v="0.46279908226810879"/>
    <n v="0.99506694855532063"/>
    <n v="0.6317673378076063"/>
  </r>
  <r>
    <x v="0"/>
    <s v="S45/070321n"/>
    <s v="all_channel"/>
    <x v="1"/>
    <m/>
    <n v="32"/>
    <s v="F8"/>
    <n v="1067"/>
    <n v="664"/>
    <n v="352"/>
    <n v="0.61640670132871178"/>
    <n v="0.75193798449612403"/>
    <n v="0.67746031746031754"/>
  </r>
  <r>
    <x v="0"/>
    <s v="S45/070321n"/>
    <s v="all_channel"/>
    <x v="2"/>
    <s v="mean"/>
    <n v="32"/>
    <s v="FP2"/>
    <n v="1151"/>
    <n v="445"/>
    <n v="268"/>
    <n v="0.72117794486215536"/>
    <n v="0.81113460183227626"/>
    <n v="0.76351575456053067"/>
  </r>
  <r>
    <x v="0"/>
    <s v="S45/070321n"/>
    <s v="all_channel"/>
    <x v="3"/>
    <s v="median"/>
    <n v="32"/>
    <s v="FP2"/>
    <n v="1182"/>
    <n v="489"/>
    <n v="237"/>
    <n v="0.70736086175942547"/>
    <n v="0.83298097251585623"/>
    <n v="0.7650485436893204"/>
  </r>
  <r>
    <x v="0"/>
    <s v="S43/070202m"/>
    <s v="all_channel"/>
    <x v="0"/>
    <m/>
    <n v="32"/>
    <s v="FP2"/>
    <n v="1899"/>
    <n v="1274"/>
    <n v="4"/>
    <n v="0.59848723605420739"/>
    <n v="0.99789805570152401"/>
    <n v="0.74822695035460995"/>
  </r>
  <r>
    <x v="0"/>
    <s v="S43/070202m"/>
    <s v="all_channel"/>
    <x v="1"/>
    <m/>
    <n v="32"/>
    <s v="FP2"/>
    <n v="427"/>
    <n v="256"/>
    <n v="1476"/>
    <n v="0.62518301610541727"/>
    <n v="0.22438255386232259"/>
    <n v="0.33023975251353438"/>
  </r>
  <r>
    <x v="0"/>
    <s v="S43/070202m"/>
    <s v="all_channel"/>
    <x v="2"/>
    <s v="mean"/>
    <n v="32"/>
    <s v="FP1"/>
    <n v="1847"/>
    <n v="422"/>
    <n v="56"/>
    <n v="0.81401498457470256"/>
    <n v="0.97057277982133483"/>
    <n v="0.88542665388302977"/>
  </r>
  <r>
    <x v="0"/>
    <s v="S43/070202m"/>
    <s v="all_channel"/>
    <x v="3"/>
    <s v="median"/>
    <n v="32"/>
    <s v="F4"/>
    <n v="1714"/>
    <n v="282"/>
    <n v="189"/>
    <n v="0.8587174348697395"/>
    <n v="0.90068313189700477"/>
    <n v="0.87919979481918453"/>
  </r>
  <r>
    <x v="0"/>
    <s v="S50/080725n"/>
    <s v="all_channel"/>
    <x v="0"/>
    <m/>
    <n v="32"/>
    <s v="C3"/>
    <n v="1031"/>
    <n v="502"/>
    <n v="60"/>
    <n v="0.67253750815394653"/>
    <n v="0.94500458295142076"/>
    <n v="0.78582317073170727"/>
  </r>
  <r>
    <x v="0"/>
    <s v="S50/080725n"/>
    <s v="all_channel"/>
    <x v="1"/>
    <m/>
    <n v="32"/>
    <s v="FP2"/>
    <n v="1044"/>
    <n v="132"/>
    <n v="47"/>
    <n v="0.88775510204081631"/>
    <n v="0.95692025664527958"/>
    <n v="0.9210410233789148"/>
  </r>
  <r>
    <x v="0"/>
    <s v="S50/080725n"/>
    <s v="all_channel"/>
    <x v="2"/>
    <s v="mean"/>
    <n v="32"/>
    <s v="FP1"/>
    <n v="1064"/>
    <n v="87"/>
    <n v="27"/>
    <n v="0.92441355343179843"/>
    <n v="0.97525206232813921"/>
    <n v="0.94915254237288116"/>
  </r>
  <r>
    <x v="0"/>
    <s v="S50/080725n"/>
    <s v="all_channel"/>
    <x v="3"/>
    <s v="median"/>
    <n v="32"/>
    <s v="FP1"/>
    <n v="1069"/>
    <n v="126"/>
    <n v="22"/>
    <n v="0.89456066945606694"/>
    <n v="0.9798350137488544"/>
    <n v="0.93525809273840765"/>
  </r>
  <r>
    <x v="0"/>
    <s v="S50/080731m"/>
    <s v="all_channel"/>
    <x v="0"/>
    <m/>
    <n v="32"/>
    <s v="F7"/>
    <n v="1071"/>
    <n v="455"/>
    <n v="2"/>
    <n v="0.70183486238532111"/>
    <n v="0.99813606710158442"/>
    <n v="0.82416313966910348"/>
  </r>
  <r>
    <x v="0"/>
    <s v="S50/080731m"/>
    <s v="all_channel"/>
    <x v="1"/>
    <m/>
    <n v="32"/>
    <s v="FP1"/>
    <n v="1059"/>
    <n v="239"/>
    <n v="14"/>
    <n v="0.81587057010785824"/>
    <n v="0.98695246971109041"/>
    <n v="0.89329396878954026"/>
  </r>
  <r>
    <x v="0"/>
    <s v="S50/080731m"/>
    <s v="all_channel"/>
    <x v="2"/>
    <s v="mean"/>
    <n v="32"/>
    <s v="FP1"/>
    <n v="1056"/>
    <n v="67"/>
    <n v="17"/>
    <n v="0.9403383793410508"/>
    <n v="0.98415657036346682"/>
    <n v="0.96174863387978138"/>
  </r>
  <r>
    <x v="0"/>
    <s v="S50/080731m"/>
    <s v="all_channel"/>
    <x v="3"/>
    <s v="median"/>
    <n v="32"/>
    <s v="F7"/>
    <n v="1054"/>
    <n v="77"/>
    <n v="19"/>
    <n v="0.93191865605658719"/>
    <n v="0.98229263746505124"/>
    <n v="0.95644283121597085"/>
  </r>
  <r>
    <x v="0"/>
    <s v="S43/070208n"/>
    <s v="all_channel"/>
    <x v="0"/>
    <m/>
    <n v="32"/>
    <s v="FP1"/>
    <n v="2543"/>
    <n v="1075"/>
    <n v="12"/>
    <n v="0.70287451630735209"/>
    <n v="0.99530332681017597"/>
    <n v="0.82391057832496351"/>
  </r>
  <r>
    <x v="0"/>
    <s v="S43/070208n"/>
    <s v="all_channel"/>
    <x v="1"/>
    <m/>
    <n v="32"/>
    <s v="FZ"/>
    <n v="221"/>
    <n v="220"/>
    <n v="2334"/>
    <n v="0.50113378684807253"/>
    <n v="8.6497064579256294E-2"/>
    <n v="0.1475300400534045"/>
  </r>
  <r>
    <x v="0"/>
    <s v="S43/070208n"/>
    <s v="all_channel"/>
    <x v="2"/>
    <s v="mean"/>
    <n v="32"/>
    <s v="FP1"/>
    <n v="2060"/>
    <n v="252"/>
    <n v="495"/>
    <n v="0.89100346020761245"/>
    <n v="0.80626223091976512"/>
    <n v="0.84651736182453263"/>
  </r>
  <r>
    <x v="0"/>
    <s v="S43/070208n"/>
    <s v="all_channel"/>
    <x v="3"/>
    <s v="median"/>
    <n v="32"/>
    <s v="FP1"/>
    <n v="2152"/>
    <n v="300"/>
    <n v="403"/>
    <n v="0.87765089722675371"/>
    <n v="0.84227005870841487"/>
    <n v="0.85959656480926716"/>
  </r>
  <r>
    <x v="0"/>
    <s v="S43/070205n"/>
    <s v="all_channel"/>
    <x v="0"/>
    <m/>
    <n v="32"/>
    <s v="FP1"/>
    <n v="2458"/>
    <n v="1150"/>
    <n v="8"/>
    <n v="0.6812638580931264"/>
    <n v="0.99675587996755877"/>
    <n v="0.80935133355284816"/>
  </r>
  <r>
    <x v="0"/>
    <s v="S43/070205n"/>
    <s v="all_channel"/>
    <x v="1"/>
    <m/>
    <n v="32"/>
    <s v="FZ"/>
    <n v="140"/>
    <n v="160"/>
    <n v="2326"/>
    <n v="0.46666666666666667"/>
    <n v="5.6772100567721001E-2"/>
    <n v="0.1012292118582791"/>
  </r>
  <r>
    <x v="0"/>
    <s v="S43/070205n"/>
    <s v="all_channel"/>
    <x v="2"/>
    <s v="mean"/>
    <n v="32"/>
    <s v="FP2"/>
    <n v="2244"/>
    <n v="228"/>
    <n v="222"/>
    <n v="0.90776699029126218"/>
    <n v="0.9099756690997568"/>
    <n v="0.9088699878493316"/>
  </r>
  <r>
    <x v="0"/>
    <s v="S43/070205n"/>
    <s v="all_channel"/>
    <x v="3"/>
    <s v="median"/>
    <n v="32"/>
    <s v="FP1"/>
    <n v="2305"/>
    <n v="272"/>
    <n v="161"/>
    <n v="0.89445091191307724"/>
    <n v="0.93471208434712083"/>
    <n v="0.91413840967677962"/>
  </r>
  <r>
    <x v="0"/>
    <s v="S53/090925m"/>
    <s v="all_channel"/>
    <x v="0"/>
    <m/>
    <n v="32"/>
    <s v="FP2"/>
    <n v="364"/>
    <n v="2299"/>
    <n v="3"/>
    <n v="0.1366879459256477"/>
    <n v="0.99182561307901917"/>
    <n v="0.24026402640264019"/>
  </r>
  <r>
    <x v="0"/>
    <s v="S53/090925m"/>
    <s v="all_channel"/>
    <x v="1"/>
    <m/>
    <n v="32"/>
    <s v="FP1"/>
    <n v="269"/>
    <n v="765"/>
    <n v="98"/>
    <n v="0.26015473887814311"/>
    <n v="0.73297002724795646"/>
    <n v="0.38401142041399"/>
  </r>
  <r>
    <x v="0"/>
    <s v="S53/090925m"/>
    <s v="all_channel"/>
    <x v="2"/>
    <s v="mean"/>
    <n v="32"/>
    <s v="FP1"/>
    <n v="288"/>
    <n v="715"/>
    <n v="79"/>
    <n v="0.28713858424725819"/>
    <n v="0.78474114441416898"/>
    <n v="0.42043795620437951"/>
  </r>
  <r>
    <x v="0"/>
    <s v="S53/090925m"/>
    <s v="all_channel"/>
    <x v="3"/>
    <s v="median"/>
    <n v="32"/>
    <s v="FP1"/>
    <n v="289"/>
    <n v="731"/>
    <n v="78"/>
    <n v="0.28333333333333333"/>
    <n v="0.78746594005449588"/>
    <n v="0.41672674837779378"/>
  </r>
  <r>
    <x v="0"/>
    <s v="S53/090918n"/>
    <s v="all_channel"/>
    <x v="0"/>
    <m/>
    <n v="32"/>
    <s v="FP1"/>
    <n v="807"/>
    <n v="1735"/>
    <n v="2"/>
    <n v="0.3174665617623918"/>
    <n v="0.99752781211372077"/>
    <n v="0.48164726947179942"/>
  </r>
  <r>
    <x v="0"/>
    <s v="S53/090918n"/>
    <s v="all_channel"/>
    <x v="1"/>
    <m/>
    <n v="32"/>
    <s v="FP1"/>
    <n v="686"/>
    <n v="785"/>
    <n v="123"/>
    <n v="0.4663494221617947"/>
    <n v="0.84796044499381951"/>
    <n v="0.60175438596491226"/>
  </r>
  <r>
    <x v="0"/>
    <s v="S53/090918n"/>
    <s v="all_channel"/>
    <x v="2"/>
    <s v="mean"/>
    <n v="32"/>
    <s v="FP1"/>
    <n v="741"/>
    <n v="878"/>
    <n v="68"/>
    <n v="0.45768993205682518"/>
    <n v="0.91594561186650181"/>
    <n v="0.61037891268533773"/>
  </r>
  <r>
    <x v="0"/>
    <s v="S53/090918n"/>
    <s v="all_channel"/>
    <x v="3"/>
    <s v="median"/>
    <n v="32"/>
    <s v="FP1"/>
    <n v="749"/>
    <n v="912"/>
    <n v="60"/>
    <n v="0.45093317278747741"/>
    <n v="0.92583436341161918"/>
    <n v="0.60647773279352224"/>
  </r>
  <r>
    <x v="0"/>
    <s v="S40/070124n"/>
    <s v="all_channel"/>
    <x v="0"/>
    <m/>
    <n v="32"/>
    <s v="FP2"/>
    <n v="4604"/>
    <n v="1331"/>
    <n v="44"/>
    <n v="0.77573715248525699"/>
    <n v="0.99053356282271943"/>
    <n v="0.87007464802041001"/>
  </r>
  <r>
    <x v="0"/>
    <s v="S40/070124n"/>
    <s v="all_channel"/>
    <x v="1"/>
    <m/>
    <n v="32"/>
    <s v="FCZ"/>
    <n v="1952"/>
    <n v="1203"/>
    <n v="2696"/>
    <n v="0.61870047543581619"/>
    <n v="0.41996557659208261"/>
    <n v="0.50032038959374603"/>
  </r>
  <r>
    <x v="0"/>
    <s v="S40/070124n"/>
    <s v="all_channel"/>
    <x v="2"/>
    <s v="mean"/>
    <n v="32"/>
    <s v="FP2"/>
    <n v="3727"/>
    <n v="491"/>
    <n v="921"/>
    <n v="0.88359412043622565"/>
    <n v="0.80185025817555933"/>
    <n v="0.84073990525603415"/>
  </r>
  <r>
    <x v="0"/>
    <s v="S40/070124n"/>
    <s v="all_channel"/>
    <x v="3"/>
    <s v="median"/>
    <n v="32"/>
    <s v="FP1"/>
    <n v="4001"/>
    <n v="575"/>
    <n v="647"/>
    <n v="0.87434440559440563"/>
    <n v="0.86080034423407914"/>
    <n v="0.86751951431049446"/>
  </r>
  <r>
    <x v="0"/>
    <s v="S45/070307n"/>
    <s v="all_channel"/>
    <x v="0"/>
    <m/>
    <n v="32"/>
    <s v="FP1"/>
    <n v="2676"/>
    <n v="1083"/>
    <n v="7"/>
    <n v="0.71189146049481244"/>
    <n v="0.99739098024599315"/>
    <n v="0.8307978888543931"/>
  </r>
  <r>
    <x v="0"/>
    <s v="S45/070307n"/>
    <s v="all_channel"/>
    <x v="1"/>
    <m/>
    <n v="32"/>
    <s v="FP1"/>
    <n v="205"/>
    <n v="365"/>
    <n v="2478"/>
    <n v="0.3596491228070175"/>
    <n v="7.6407007081624997E-2"/>
    <n v="0.12603750384260681"/>
  </r>
  <r>
    <x v="0"/>
    <s v="S45/070307n"/>
    <s v="all_channel"/>
    <x v="2"/>
    <s v="mean"/>
    <n v="32"/>
    <s v="FP1"/>
    <n v="2482"/>
    <n v="559"/>
    <n v="201"/>
    <n v="0.81617888852351195"/>
    <n v="0.92508386134923604"/>
    <n v="0.86722571628232004"/>
  </r>
  <r>
    <x v="0"/>
    <s v="S45/070307n"/>
    <s v="all_channel"/>
    <x v="3"/>
    <s v="median"/>
    <n v="32"/>
    <s v="FP1"/>
    <n v="2538"/>
    <n v="629"/>
    <n v="145"/>
    <n v="0.80138932743921687"/>
    <n v="0.94595601938128959"/>
    <n v="0.86769230769230754"/>
  </r>
  <r>
    <x v="0"/>
    <s v="S55/090930n"/>
    <s v="all_channel"/>
    <x v="0"/>
    <m/>
    <n v="32"/>
    <s v="FP2"/>
    <n v="2522"/>
    <n v="26"/>
    <n v="3"/>
    <n v="0.98979591836734682"/>
    <n v="0.99881188118811881"/>
    <n v="0.99428346146264523"/>
  </r>
  <r>
    <x v="0"/>
    <s v="S55/090930n"/>
    <s v="all_channel"/>
    <x v="1"/>
    <m/>
    <n v="32"/>
    <s v="FP1"/>
    <n v="2475"/>
    <n v="26"/>
    <n v="50"/>
    <n v="0.98960415833666537"/>
    <n v="0.98019801980198018"/>
    <n v="0.98487863111818541"/>
  </r>
  <r>
    <x v="0"/>
    <s v="S55/090930n"/>
    <s v="all_channel"/>
    <x v="2"/>
    <s v="mean"/>
    <n v="32"/>
    <s v="FP1"/>
    <n v="2486"/>
    <n v="2"/>
    <n v="39"/>
    <n v="0.99919614147909963"/>
    <n v="0.98455445544554443"/>
    <n v="0.99182126471174958"/>
  </r>
  <r>
    <x v="0"/>
    <s v="S55/090930n"/>
    <s v="all_channel"/>
    <x v="3"/>
    <s v="median"/>
    <n v="32"/>
    <s v="FP1"/>
    <n v="2493"/>
    <n v="4"/>
    <n v="32"/>
    <n v="0.99839807769323197"/>
    <n v="0.9873267326732672"/>
    <n v="0.99283154121863804"/>
  </r>
  <r>
    <x v="1"/>
    <s v="S12/S25_20190124_060024_3"/>
    <s v="all_channel"/>
    <x v="0"/>
    <m/>
    <n v="32"/>
    <s v="E23"/>
    <n v="470"/>
    <n v="76"/>
    <n v="19"/>
    <n v="0.86080586080586086"/>
    <n v="0.96114519427402878"/>
    <n v="0.90821256038647358"/>
  </r>
  <r>
    <x v="1"/>
    <s v="S12/S25_20190124_060024_3"/>
    <s v="all_channel"/>
    <x v="1"/>
    <m/>
    <n v="32"/>
    <s v="E22"/>
    <n v="468"/>
    <n v="13"/>
    <n v="21"/>
    <n v="0.97297297297297303"/>
    <n v="0.95705521472392641"/>
    <n v="0.96494845360824744"/>
  </r>
  <r>
    <x v="1"/>
    <s v="S12/S25_20190124_060024_3"/>
    <s v="all_channel"/>
    <x v="2"/>
    <s v="mean"/>
    <n v="32"/>
    <s v="E9"/>
    <n v="468"/>
    <n v="22"/>
    <n v="21"/>
    <n v="0.95510204081632644"/>
    <n v="0.95705521472392641"/>
    <n v="0.95607763023493364"/>
  </r>
  <r>
    <x v="1"/>
    <s v="S12/S25_20190124_060024_3"/>
    <s v="all_channel"/>
    <x v="3"/>
    <s v="median"/>
    <n v="32"/>
    <s v="E22"/>
    <n v="469"/>
    <n v="25"/>
    <n v="20"/>
    <n v="0.9493927125506072"/>
    <n v="0.95910020449897759"/>
    <n v="0.9542217700915564"/>
  </r>
  <r>
    <x v="1"/>
    <s v="S1/S01_20170519_043933_3"/>
    <s v="all_channel"/>
    <x v="0"/>
    <m/>
    <n v="32"/>
    <s v="E3"/>
    <n v="127"/>
    <n v="423"/>
    <n v="5"/>
    <n v="0.2309090909090909"/>
    <n v="0.96212121212121215"/>
    <n v="0.37243401759530792"/>
  </r>
  <r>
    <x v="1"/>
    <s v="S1/S01_20170519_043933_3"/>
    <s v="all_channel"/>
    <x v="1"/>
    <m/>
    <n v="32"/>
    <s v="E59"/>
    <n v="0"/>
    <n v="2"/>
    <n v="132"/>
    <n v="0"/>
    <n v="0"/>
    <n v="0"/>
  </r>
  <r>
    <x v="1"/>
    <s v="S1/S01_20170519_043933_3"/>
    <s v="all_channel"/>
    <x v="2"/>
    <s v="mean"/>
    <n v="32"/>
    <s v="E3"/>
    <n v="123"/>
    <n v="141"/>
    <n v="9"/>
    <n v="0.46590909090909088"/>
    <n v="0.93181818181818177"/>
    <n v="0.6212121212121211"/>
  </r>
  <r>
    <x v="1"/>
    <s v="S1/S01_20170519_043933_3"/>
    <s v="all_channel"/>
    <x v="3"/>
    <s v="median"/>
    <n v="32"/>
    <s v="E3"/>
    <n v="123"/>
    <n v="142"/>
    <n v="9"/>
    <n v="0.46415094339622642"/>
    <n v="0.93181818181818177"/>
    <n v="0.61964735516372793"/>
  </r>
  <r>
    <x v="1"/>
    <s v="S10/S23_20181226_042222_3"/>
    <s v="all_channel"/>
    <x v="0"/>
    <m/>
    <n v="32"/>
    <s v="E22"/>
    <n v="236"/>
    <n v="318"/>
    <n v="9"/>
    <n v="0.4259927797833935"/>
    <n v="0.96326530612244898"/>
    <n v="0.59073842302878599"/>
  </r>
  <r>
    <x v="1"/>
    <s v="S10/S23_20181226_042222_3"/>
    <s v="all_channel"/>
    <x v="1"/>
    <m/>
    <n v="32"/>
    <s v="E67"/>
    <n v="6"/>
    <n v="36"/>
    <n v="239"/>
    <n v="0.14285714285714279"/>
    <n v="2.4489795918367301E-2"/>
    <n v="4.1811846689895397E-2"/>
  </r>
  <r>
    <x v="1"/>
    <s v="S10/S23_20181226_042222_3"/>
    <s v="all_channel"/>
    <x v="2"/>
    <s v="mean"/>
    <n v="32"/>
    <s v="E22"/>
    <n v="220"/>
    <n v="60"/>
    <n v="25"/>
    <n v="0.7857142857142857"/>
    <n v="0.89795918367346939"/>
    <n v="0.838095238095238"/>
  </r>
  <r>
    <x v="1"/>
    <s v="S10/S23_20181226_042222_3"/>
    <s v="all_channel"/>
    <x v="3"/>
    <s v="median"/>
    <n v="32"/>
    <s v="E9"/>
    <n v="225"/>
    <n v="67"/>
    <n v="20"/>
    <n v="0.77054794520547942"/>
    <n v="0.91836734693877564"/>
    <n v="0.83798882681564246"/>
  </r>
  <r>
    <x v="1"/>
    <s v="S13/S26_20190108_035218_3"/>
    <s v="all_channel"/>
    <x v="0"/>
    <m/>
    <n v="32"/>
    <s v="E9"/>
    <n v="497"/>
    <n v="140"/>
    <n v="11"/>
    <n v="0.78021978021978022"/>
    <n v="0.97834645669291342"/>
    <n v="0.86812227074235815"/>
  </r>
  <r>
    <x v="1"/>
    <s v="S13/S26_20190108_035218_3"/>
    <s v="all_channel"/>
    <x v="1"/>
    <m/>
    <n v="32"/>
    <s v="E9"/>
    <n v="450"/>
    <n v="133"/>
    <n v="58"/>
    <n v="0.77186963979416812"/>
    <n v="0.88582677165354329"/>
    <n v="0.82493125572868919"/>
  </r>
  <r>
    <x v="1"/>
    <s v="S13/S26_20190108_035218_3"/>
    <s v="all_channel"/>
    <x v="2"/>
    <s v="mean"/>
    <n v="32"/>
    <s v="E22"/>
    <n v="442"/>
    <n v="100"/>
    <n v="66"/>
    <n v="0.81549815498154976"/>
    <n v="0.87007874015748032"/>
    <n v="0.84190476190476182"/>
  </r>
  <r>
    <x v="1"/>
    <s v="S13/S26_20190108_035218_3"/>
    <s v="all_channel"/>
    <x v="3"/>
    <s v="median"/>
    <n v="32"/>
    <s v="E22"/>
    <n v="458"/>
    <n v="107"/>
    <n v="50"/>
    <n v="0.81061946902654869"/>
    <n v="0.90157480314960636"/>
    <n v="0.85368126747437101"/>
  </r>
  <r>
    <x v="1"/>
    <s v="S18/S31_20190115_035853"/>
    <s v="all_channel"/>
    <x v="0"/>
    <m/>
    <n v="32"/>
    <s v="E11"/>
    <n v="306"/>
    <n v="275"/>
    <n v="19"/>
    <n v="0.52667814113597244"/>
    <n v="0.94153846153846155"/>
    <n v="0.67549668874172186"/>
  </r>
  <r>
    <x v="1"/>
    <s v="S18/S31_20190115_035853"/>
    <s v="all_channel"/>
    <x v="1"/>
    <m/>
    <n v="32"/>
    <s v="E23"/>
    <n v="218"/>
    <n v="4"/>
    <n v="107"/>
    <n v="0.98198198198198205"/>
    <n v="0.67076923076923078"/>
    <n v="0.79707495429616082"/>
  </r>
  <r>
    <x v="1"/>
    <s v="S18/S31_20190115_035853"/>
    <s v="all_channel"/>
    <x v="2"/>
    <s v="mean"/>
    <n v="32"/>
    <s v="E22"/>
    <n v="312"/>
    <n v="29"/>
    <n v="13"/>
    <n v="0.91495601173020524"/>
    <n v="0.96"/>
    <n v="0.9369369369369368"/>
  </r>
  <r>
    <x v="1"/>
    <s v="S18/S31_20190115_035853"/>
    <s v="all_channel"/>
    <x v="3"/>
    <s v="median"/>
    <n v="32"/>
    <s v="E22"/>
    <n v="312"/>
    <n v="29"/>
    <n v="13"/>
    <n v="0.91495601173020524"/>
    <n v="0.96"/>
    <n v="0.9369369369369368"/>
  </r>
  <r>
    <x v="1"/>
    <s v="S1/S01_20170519_043933"/>
    <s v="all_channel"/>
    <x v="0"/>
    <m/>
    <n v="32"/>
    <s v="E124"/>
    <n v="133"/>
    <n v="272"/>
    <n v="5"/>
    <n v="0.328395061728395"/>
    <n v="0.96376811594202882"/>
    <n v="0.4898710865561694"/>
  </r>
  <r>
    <x v="1"/>
    <s v="S1/S01_20170519_043933"/>
    <s v="all_channel"/>
    <x v="1"/>
    <m/>
    <n v="32"/>
    <s v="E22"/>
    <n v="133"/>
    <n v="30"/>
    <n v="5"/>
    <n v="0.81595092024539873"/>
    <n v="0.96376811594202882"/>
    <n v="0.88372093023255793"/>
  </r>
  <r>
    <x v="1"/>
    <s v="S1/S01_20170519_043933"/>
    <s v="all_channel"/>
    <x v="2"/>
    <s v="mean"/>
    <n v="32"/>
    <s v="E9"/>
    <n v="137"/>
    <n v="31"/>
    <n v="1"/>
    <n v="0.81547619047619047"/>
    <n v="0.99275362318840576"/>
    <n v="0.89542483660130712"/>
  </r>
  <r>
    <x v="1"/>
    <s v="S1/S01_20170519_043933"/>
    <s v="all_channel"/>
    <x v="3"/>
    <s v="median"/>
    <n v="32"/>
    <s v="E3"/>
    <n v="125"/>
    <n v="16"/>
    <n v="13"/>
    <n v="0.88652482269503541"/>
    <n v="0.90579710144927539"/>
    <n v="0.89605734767025091"/>
  </r>
  <r>
    <x v="1"/>
    <s v="S1/S01_20170519_043933_2"/>
    <s v="all_channel"/>
    <x v="0"/>
    <m/>
    <n v="32"/>
    <s v="E3"/>
    <n v="169"/>
    <n v="250"/>
    <n v="6"/>
    <n v="0.40334128878281622"/>
    <n v="0.96571428571428564"/>
    <n v="0.56902356902356899"/>
  </r>
  <r>
    <x v="1"/>
    <s v="S1/S01_20170519_043933_2"/>
    <s v="all_channel"/>
    <x v="1"/>
    <m/>
    <n v="32"/>
    <s v="E9"/>
    <n v="163"/>
    <n v="32"/>
    <n v="12"/>
    <n v="0.83589743589743593"/>
    <n v="0.93142857142857138"/>
    <n v="0.88108108108108107"/>
  </r>
  <r>
    <x v="1"/>
    <s v="S1/S01_20170519_043933_2"/>
    <s v="all_channel"/>
    <x v="2"/>
    <s v="mean"/>
    <n v="32"/>
    <s v="E9"/>
    <n v="170"/>
    <n v="48"/>
    <n v="5"/>
    <n v="0.77981651376146788"/>
    <n v="0.97142857142857142"/>
    <n v="0.86513994910941472"/>
  </r>
  <r>
    <x v="1"/>
    <s v="S1/S01_20170519_043933_2"/>
    <s v="all_channel"/>
    <x v="3"/>
    <s v="median"/>
    <n v="32"/>
    <s v="E9"/>
    <n v="170"/>
    <n v="48"/>
    <n v="5"/>
    <n v="0.77981651376146788"/>
    <n v="0.97142857142857142"/>
    <n v="0.86513994910941472"/>
  </r>
  <r>
    <x v="1"/>
    <s v="S10/S23_20181226_042222"/>
    <s v="all_channel"/>
    <x v="0"/>
    <m/>
    <n v="32"/>
    <s v="E23"/>
    <n v="147"/>
    <n v="280"/>
    <n v="13"/>
    <n v="0.34426229508196721"/>
    <n v="0.91874999999999996"/>
    <n v="0.50085178875638836"/>
  </r>
  <r>
    <x v="1"/>
    <s v="S10/S23_20181226_042222"/>
    <s v="all_channel"/>
    <x v="1"/>
    <m/>
    <n v="32"/>
    <s v="E9"/>
    <n v="144"/>
    <n v="49"/>
    <n v="16"/>
    <n v="0.74611398963730569"/>
    <n v="0.9"/>
    <n v="0.81586402266288949"/>
  </r>
  <r>
    <x v="1"/>
    <s v="S10/S23_20181226_042222"/>
    <s v="all_channel"/>
    <x v="2"/>
    <s v="mean"/>
    <n v="32"/>
    <s v="E22"/>
    <n v="150"/>
    <n v="14"/>
    <n v="10"/>
    <n v="0.91463414634146345"/>
    <n v="0.9375"/>
    <n v="0.92592592592592604"/>
  </r>
  <r>
    <x v="1"/>
    <s v="S10/S23_20181226_042222"/>
    <s v="all_channel"/>
    <x v="3"/>
    <s v="median"/>
    <n v="32"/>
    <s v="E22"/>
    <n v="150"/>
    <n v="15"/>
    <n v="10"/>
    <n v="0.90909090909090917"/>
    <n v="0.9375"/>
    <n v="0.92307692307692302"/>
  </r>
  <r>
    <x v="1"/>
    <s v="S10/S23_20181226_042222_2"/>
    <s v="all_channel"/>
    <x v="0"/>
    <m/>
    <n v="32"/>
    <s v="E9"/>
    <n v="547"/>
    <n v="261"/>
    <n v="29"/>
    <n v="0.67698019801980203"/>
    <n v="0.94965277777777779"/>
    <n v="0.79046242774566466"/>
  </r>
  <r>
    <x v="1"/>
    <s v="S10/S23_20181226_042222_2"/>
    <s v="all_channel"/>
    <x v="1"/>
    <m/>
    <n v="32"/>
    <s v="E22"/>
    <n v="136"/>
    <n v="413"/>
    <n v="440"/>
    <n v="0.24772313296903459"/>
    <n v="0.2361111111111111"/>
    <n v="0.2417777777777777"/>
  </r>
  <r>
    <x v="1"/>
    <s v="S10/S23_20181226_042222_2"/>
    <s v="all_channel"/>
    <x v="2"/>
    <s v="mean"/>
    <n v="32"/>
    <s v="E9"/>
    <n v="493"/>
    <n v="44"/>
    <n v="83"/>
    <n v="0.91806331471135938"/>
    <n v="0.85590277777777779"/>
    <n v="0.88589398023360277"/>
  </r>
  <r>
    <x v="1"/>
    <s v="S10/S23_20181226_042222_2"/>
    <s v="all_channel"/>
    <x v="3"/>
    <s v="median"/>
    <n v="32"/>
    <s v="E9"/>
    <n v="497"/>
    <n v="44"/>
    <n v="79"/>
    <n v="0.91866913123844718"/>
    <n v="0.86284722222222221"/>
    <n v="0.88988361683079675"/>
  </r>
  <r>
    <x v="1"/>
    <s v="S12/S25_20190124_060024"/>
    <s v="all_channel"/>
    <x v="0"/>
    <m/>
    <n v="32"/>
    <s v="E24"/>
    <n v="493"/>
    <n v="75"/>
    <n v="36"/>
    <n v="0.86795774647887325"/>
    <n v="0.93194706994328924"/>
    <n v="0.89881494986326349"/>
  </r>
  <r>
    <x v="1"/>
    <s v="S12/S25_20190124_060024"/>
    <s v="all_channel"/>
    <x v="1"/>
    <m/>
    <n v="32"/>
    <s v="E22"/>
    <n v="514"/>
    <n v="28"/>
    <n v="15"/>
    <n v="0.94833948339483398"/>
    <n v="0.97164461247637035"/>
    <n v="0.95985060690943036"/>
  </r>
  <r>
    <x v="1"/>
    <s v="S12/S25_20190124_060024"/>
    <s v="all_channel"/>
    <x v="2"/>
    <s v="mean"/>
    <n v="32"/>
    <s v="E22"/>
    <n v="506"/>
    <n v="20"/>
    <n v="23"/>
    <n v="0.96197718631178719"/>
    <n v="0.95652173913043481"/>
    <n v="0.95924170616113735"/>
  </r>
  <r>
    <x v="1"/>
    <s v="S12/S25_20190124_060024"/>
    <s v="all_channel"/>
    <x v="3"/>
    <s v="median"/>
    <n v="32"/>
    <s v="E22"/>
    <n v="507"/>
    <n v="23"/>
    <n v="22"/>
    <n v="0.95660377358490556"/>
    <n v="0.9584120982986768"/>
    <n v="0.95750708215297442"/>
  </r>
  <r>
    <x v="1"/>
    <s v="S12/S25_20190124_060024_2"/>
    <s v="all_channel"/>
    <x v="0"/>
    <m/>
    <n v="32"/>
    <s v="E22"/>
    <n v="618"/>
    <n v="90"/>
    <n v="18"/>
    <n v="0.8728813559322034"/>
    <n v="0.97169811320754718"/>
    <n v="0.91964285714285721"/>
  </r>
  <r>
    <x v="1"/>
    <s v="S12/S25_20190124_060024_2"/>
    <s v="all_channel"/>
    <x v="1"/>
    <m/>
    <n v="32"/>
    <s v="E22"/>
    <n v="595"/>
    <n v="32"/>
    <n v="41"/>
    <n v="0.94896331738437001"/>
    <n v="0.9355345911949684"/>
    <n v="0.94220110847189242"/>
  </r>
  <r>
    <x v="1"/>
    <s v="S12/S25_20190124_060024_2"/>
    <s v="all_channel"/>
    <x v="2"/>
    <s v="mean"/>
    <n v="32"/>
    <s v="E22"/>
    <n v="605"/>
    <n v="30"/>
    <n v="31"/>
    <n v="0.952755905511811"/>
    <n v="0.95125786163521997"/>
    <n v="0.95200629425649075"/>
  </r>
  <r>
    <x v="1"/>
    <s v="S12/S25_20190124_060024_2"/>
    <s v="all_channel"/>
    <x v="3"/>
    <s v="median"/>
    <n v="32"/>
    <s v="E22"/>
    <n v="606"/>
    <n v="33"/>
    <n v="30"/>
    <n v="0.94835680751173723"/>
    <n v="0.95283018867924518"/>
    <n v="0.95058823529411762"/>
  </r>
  <r>
    <x v="1"/>
    <s v="S13/S26_20190108_035218"/>
    <s v="all_channel"/>
    <x v="0"/>
    <m/>
    <n v="32"/>
    <s v="E22"/>
    <n v="509"/>
    <n v="170"/>
    <n v="13"/>
    <n v="0.74963181148748159"/>
    <n v="0.97509578544061304"/>
    <n v="0.84762697751873439"/>
  </r>
  <r>
    <x v="1"/>
    <s v="S13/S26_20190108_035218"/>
    <s v="all_channel"/>
    <x v="1"/>
    <m/>
    <n v="32"/>
    <s v="E22"/>
    <n v="507"/>
    <n v="103"/>
    <n v="15"/>
    <n v="0.83114754098360655"/>
    <n v="0.97126436781609204"/>
    <n v="0.89575971731448767"/>
  </r>
  <r>
    <x v="1"/>
    <s v="S13/S26_20190108_035218"/>
    <s v="all_channel"/>
    <x v="2"/>
    <s v="mean"/>
    <n v="32"/>
    <s v="E22"/>
    <n v="495"/>
    <n v="33"/>
    <n v="27"/>
    <n v="0.9375"/>
    <n v="0.94827586206896564"/>
    <n v="0.94285714285714284"/>
  </r>
  <r>
    <x v="1"/>
    <s v="S13/S26_20190108_035218"/>
    <s v="all_channel"/>
    <x v="3"/>
    <s v="median"/>
    <n v="32"/>
    <s v="E22"/>
    <n v="498"/>
    <n v="34"/>
    <n v="24"/>
    <n v="0.93609022556390975"/>
    <n v="0.95402298850574718"/>
    <n v="0.94497153700189762"/>
  </r>
  <r>
    <x v="1"/>
    <s v="S18/S31_20190115_035853_2"/>
    <s v="all_channel"/>
    <x v="0"/>
    <m/>
    <n v="32"/>
    <s v="E9"/>
    <n v="324"/>
    <n v="302"/>
    <n v="131"/>
    <n v="0.51757188498402551"/>
    <n v="0.71208791208791211"/>
    <n v="0.59944495837187783"/>
  </r>
  <r>
    <x v="1"/>
    <s v="S18/S31_20190115_035853_2"/>
    <s v="all_channel"/>
    <x v="1"/>
    <m/>
    <n v="32"/>
    <s v="E9"/>
    <n v="439"/>
    <n v="34"/>
    <n v="16"/>
    <n v="0.92811839323467238"/>
    <n v="0.96483516483516485"/>
    <n v="0.94612068965517238"/>
  </r>
  <r>
    <x v="1"/>
    <s v="S18/S31_20190115_035853_2"/>
    <s v="all_channel"/>
    <x v="2"/>
    <s v="mean"/>
    <n v="32"/>
    <s v="E22"/>
    <n v="313"/>
    <n v="152"/>
    <n v="142"/>
    <n v="0.67311827956989245"/>
    <n v="0.68791208791208791"/>
    <n v="0.68043478260869561"/>
  </r>
  <r>
    <x v="1"/>
    <s v="S18/S31_20190115_035853_2"/>
    <s v="all_channel"/>
    <x v="3"/>
    <s v="median"/>
    <n v="32"/>
    <s v="E22"/>
    <n v="313"/>
    <n v="157"/>
    <n v="142"/>
    <n v="0.66595744680851066"/>
    <n v="0.68791208791208791"/>
    <n v="0.67675675675675684"/>
  </r>
  <r>
    <x v="1"/>
    <s v="S13/S26_20190108_035218_2"/>
    <s v="all_channel"/>
    <x v="0"/>
    <m/>
    <n v="32"/>
    <s v="E9"/>
    <n v="593"/>
    <n v="110"/>
    <n v="27"/>
    <n v="0.84352773826458038"/>
    <n v="0.95645161290322578"/>
    <n v="0.89644746787603935"/>
  </r>
  <r>
    <x v="1"/>
    <s v="S13/S26_20190108_035218_2"/>
    <s v="all_channel"/>
    <x v="1"/>
    <m/>
    <n v="32"/>
    <s v="E22"/>
    <n v="562"/>
    <n v="100"/>
    <n v="58"/>
    <n v="0.84894259818731121"/>
    <n v="0.90645161290322585"/>
    <n v="0.87675507020280818"/>
  </r>
  <r>
    <x v="1"/>
    <s v="S13/S26_20190108_035218_2"/>
    <s v="all_channel"/>
    <x v="2"/>
    <s v="mean"/>
    <n v="32"/>
    <s v="E22"/>
    <n v="531"/>
    <n v="71"/>
    <n v="89"/>
    <n v="0.88205980066445178"/>
    <n v="0.8564516129032258"/>
    <n v="0.86906710310965629"/>
  </r>
  <r>
    <x v="1"/>
    <s v="S13/S26_20190108_035218_2"/>
    <s v="all_channel"/>
    <x v="3"/>
    <s v="median"/>
    <n v="32"/>
    <s v="E22"/>
    <n v="542"/>
    <n v="76"/>
    <n v="78"/>
    <n v="0.87702265372168287"/>
    <n v="0.87419354838709673"/>
    <n v="0.87560581583198704"/>
  </r>
  <r>
    <x v="1"/>
    <s v="S16/S29_20190111_034326_3"/>
    <s v="all_channel"/>
    <x v="0"/>
    <m/>
    <n v="32"/>
    <s v="E9"/>
    <n v="1685"/>
    <n v="82"/>
    <n v="137"/>
    <n v="0.95359366157328795"/>
    <n v="0.92480790340285401"/>
    <n v="0.93898021733073278"/>
  </r>
  <r>
    <x v="1"/>
    <s v="S16/S29_20190111_034326_3"/>
    <s v="all_channel"/>
    <x v="1"/>
    <m/>
    <n v="32"/>
    <s v="E23"/>
    <n v="163"/>
    <n v="272"/>
    <n v="1659"/>
    <n v="0.37471264367816087"/>
    <n v="8.9462129527991194E-2"/>
    <n v="0.14443952148870179"/>
  </r>
  <r>
    <x v="1"/>
    <s v="S16/S29_20190111_034326_3"/>
    <s v="all_channel"/>
    <x v="2"/>
    <s v="mean"/>
    <n v="32"/>
    <s v="E9"/>
    <n v="548"/>
    <n v="35"/>
    <n v="1274"/>
    <n v="0.93996569468267577"/>
    <n v="0.300768386388584"/>
    <n v="0.4557172557172558"/>
  </r>
  <r>
    <x v="1"/>
    <s v="S16/S29_20190111_034326_3"/>
    <s v="all_channel"/>
    <x v="3"/>
    <s v="median"/>
    <n v="32"/>
    <s v="E9"/>
    <n v="800"/>
    <n v="52"/>
    <n v="1022"/>
    <n v="0.93896713615023475"/>
    <n v="0.43907793633369918"/>
    <n v="0.59835452505609577"/>
  </r>
  <r>
    <x v="1"/>
    <s v="S2/TEST_20170601_042544_3"/>
    <s v="all_channel"/>
    <x v="0"/>
    <m/>
    <n v="32"/>
    <s v="E3"/>
    <n v="250"/>
    <n v="389"/>
    <n v="8"/>
    <n v="0.3912363067292644"/>
    <n v="0.96899224806201545"/>
    <n v="0.55741360089186176"/>
  </r>
  <r>
    <x v="1"/>
    <s v="S2/TEST_20170601_042544_3"/>
    <s v="all_channel"/>
    <x v="1"/>
    <m/>
    <n v="32"/>
    <s v="E59"/>
    <n v="2"/>
    <n v="24"/>
    <n v="256"/>
    <n v="7.69230769230769E-2"/>
    <n v="7.7519379844960996E-3"/>
    <n v="1.4084507042253501E-2"/>
  </r>
  <r>
    <x v="1"/>
    <s v="S2/TEST_20170601_042544_3"/>
    <s v="all_channel"/>
    <x v="2"/>
    <s v="mean"/>
    <n v="32"/>
    <s v="E3"/>
    <n v="248"/>
    <n v="33"/>
    <n v="10"/>
    <n v="0.88256227758007122"/>
    <n v="0.96124031007751942"/>
    <n v="0.92022263450834885"/>
  </r>
  <r>
    <x v="1"/>
    <s v="S2/TEST_20170601_042544_3"/>
    <s v="all_channel"/>
    <x v="3"/>
    <s v="median"/>
    <n v="32"/>
    <s v="E3"/>
    <n v="248"/>
    <n v="36"/>
    <n v="10"/>
    <n v="0.87323943661971826"/>
    <n v="0.96124031007751942"/>
    <n v="0.91512915129151284"/>
  </r>
  <r>
    <x v="1"/>
    <s v="S18/S31_20190115_035853_3"/>
    <s v="all_channel"/>
    <x v="0"/>
    <m/>
    <n v="32"/>
    <s v="E9"/>
    <n v="481"/>
    <n v="191"/>
    <n v="2"/>
    <n v="0.71577380952380953"/>
    <n v="0.99585921325051763"/>
    <n v="0.83290043290043281"/>
  </r>
  <r>
    <x v="1"/>
    <s v="S18/S31_20190115_035853_3"/>
    <s v="all_channel"/>
    <x v="1"/>
    <m/>
    <n v="32"/>
    <s v="E22"/>
    <n v="477"/>
    <n v="11"/>
    <n v="6"/>
    <n v="0.97745901639344257"/>
    <n v="0.98757763975155277"/>
    <n v="0.98249227600411959"/>
  </r>
  <r>
    <x v="1"/>
    <s v="S18/S31_20190115_035853_3"/>
    <s v="all_channel"/>
    <x v="2"/>
    <s v="mean"/>
    <n v="32"/>
    <s v="E9"/>
    <n v="475"/>
    <n v="27"/>
    <n v="8"/>
    <n v="0.94621513944223123"/>
    <n v="0.9834368530020704"/>
    <n v="0.96446700507614203"/>
  </r>
  <r>
    <x v="1"/>
    <s v="S18/S31_20190115_035853_3"/>
    <s v="all_channel"/>
    <x v="3"/>
    <s v="median"/>
    <n v="32"/>
    <s v="E9"/>
    <n v="476"/>
    <n v="33"/>
    <n v="7"/>
    <n v="0.93516699410609039"/>
    <n v="0.98550724637681164"/>
    <n v="0.95967741935483875"/>
  </r>
  <r>
    <x v="1"/>
    <s v="S19/S32_20190116_041137_3"/>
    <s v="all_channel"/>
    <x v="0"/>
    <m/>
    <n v="32"/>
    <s v="E11"/>
    <n v="681"/>
    <n v="165"/>
    <n v="21"/>
    <n v="0.80496453900709219"/>
    <n v="0.97008547008546997"/>
    <n v="0.87984496124031009"/>
  </r>
  <r>
    <x v="1"/>
    <s v="S19/S32_20190116_041137_3"/>
    <s v="all_channel"/>
    <x v="1"/>
    <m/>
    <n v="32"/>
    <s v="E23"/>
    <n v="689"/>
    <n v="52"/>
    <n v="13"/>
    <n v="0.92982456140350878"/>
    <n v="0.98148148148148162"/>
    <n v="0.95495495495495497"/>
  </r>
  <r>
    <x v="1"/>
    <s v="S19/S32_20190116_041137_3"/>
    <s v="all_channel"/>
    <x v="2"/>
    <s v="mean"/>
    <n v="32"/>
    <s v="E22"/>
    <n v="689"/>
    <n v="35"/>
    <n v="13"/>
    <n v="0.95165745856353601"/>
    <n v="0.98148148148148162"/>
    <n v="0.96633941093969145"/>
  </r>
  <r>
    <x v="1"/>
    <s v="S19/S32_20190116_041137_3"/>
    <s v="all_channel"/>
    <x v="3"/>
    <s v="median"/>
    <n v="32"/>
    <s v="E23"/>
    <n v="686"/>
    <n v="34"/>
    <n v="16"/>
    <n v="0.95277777777777761"/>
    <n v="0.97720797720797725"/>
    <n v="0.9648382559774964"/>
  </r>
  <r>
    <x v="1"/>
    <s v="S2/TEST_20170601_042544"/>
    <s v="all_channel"/>
    <x v="0"/>
    <m/>
    <n v="32"/>
    <s v="E26"/>
    <n v="267"/>
    <n v="374"/>
    <n v="9"/>
    <n v="0.41653666146645868"/>
    <n v="0.96739130434782605"/>
    <n v="0.58233369683751368"/>
  </r>
  <r>
    <x v="1"/>
    <s v="S2/TEST_20170601_042544"/>
    <s v="all_channel"/>
    <x v="1"/>
    <m/>
    <n v="32"/>
    <s v="E9"/>
    <n v="250"/>
    <n v="28"/>
    <n v="26"/>
    <n v="0.89928057553956831"/>
    <n v="0.90579710144927539"/>
    <n v="0.90252707581227443"/>
  </r>
  <r>
    <x v="1"/>
    <s v="S2/TEST_20170601_042544"/>
    <s v="all_channel"/>
    <x v="2"/>
    <s v="mean"/>
    <n v="32"/>
    <s v="E3"/>
    <n v="263"/>
    <n v="67"/>
    <n v="13"/>
    <n v="0.79696969696969699"/>
    <n v="0.95289855072463758"/>
    <n v="0.86798679867986805"/>
  </r>
  <r>
    <x v="1"/>
    <s v="S2/TEST_20170601_042544"/>
    <s v="all_channel"/>
    <x v="3"/>
    <s v="median"/>
    <n v="32"/>
    <s v="E3"/>
    <n v="264"/>
    <n v="73"/>
    <n v="12"/>
    <n v="0.78338278931750738"/>
    <n v="0.95652173913043481"/>
    <n v="0.86133768352365414"/>
  </r>
  <r>
    <x v="1"/>
    <s v="S19/S32_20190116_041137"/>
    <s v="all_channel"/>
    <x v="0"/>
    <m/>
    <n v="32"/>
    <s v="E11"/>
    <n v="624"/>
    <n v="207"/>
    <n v="21"/>
    <n v="0.75090252707581229"/>
    <n v="0.96744186046511638"/>
    <n v="0.84552845528455278"/>
  </r>
  <r>
    <x v="1"/>
    <s v="S19/S32_20190116_041137"/>
    <s v="all_channel"/>
    <x v="1"/>
    <m/>
    <n v="32"/>
    <s v="E23"/>
    <n v="344"/>
    <n v="185"/>
    <n v="301"/>
    <n v="0.65028355387523629"/>
    <n v="0.53333333333333333"/>
    <n v="0.58603066439523011"/>
  </r>
  <r>
    <x v="1"/>
    <s v="S19/S32_20190116_041137"/>
    <s v="all_channel"/>
    <x v="2"/>
    <s v="mean"/>
    <n v="32"/>
    <s v="E22"/>
    <n v="626"/>
    <n v="13"/>
    <n v="19"/>
    <n v="0.9796557120500784"/>
    <n v="0.97054263565891485"/>
    <n v="0.97507788161993758"/>
  </r>
  <r>
    <x v="1"/>
    <s v="S19/S32_20190116_041137"/>
    <s v="all_channel"/>
    <x v="3"/>
    <s v="median"/>
    <n v="32"/>
    <s v="E22"/>
    <n v="626"/>
    <n v="14"/>
    <n v="19"/>
    <n v="0.97812500000000002"/>
    <n v="0.97054263565891485"/>
    <n v="0.97431906614786001"/>
  </r>
  <r>
    <x v="1"/>
    <s v="S2/TEST_20170601_042544_2"/>
    <s v="all_channel"/>
    <x v="0"/>
    <m/>
    <n v="32"/>
    <s v="E23"/>
    <n v="344"/>
    <n v="369"/>
    <n v="18"/>
    <n v="0.48246844319775589"/>
    <n v="0.95027624309392278"/>
    <n v="0.64"/>
  </r>
  <r>
    <x v="1"/>
    <s v="S2/TEST_20170601_042544_2"/>
    <s v="all_channel"/>
    <x v="1"/>
    <m/>
    <n v="32"/>
    <s v="E9"/>
    <n v="311"/>
    <n v="34"/>
    <n v="51"/>
    <n v="0.90144927536231878"/>
    <n v="0.85911602209944748"/>
    <n v="0.87977369165487973"/>
  </r>
  <r>
    <x v="1"/>
    <s v="S2/TEST_20170601_042544_2"/>
    <s v="all_channel"/>
    <x v="2"/>
    <s v="mean"/>
    <n v="32"/>
    <s v="E9"/>
    <n v="342"/>
    <n v="73"/>
    <n v="20"/>
    <n v="0.82409638554216869"/>
    <n v="0.94475138121546964"/>
    <n v="0.88030888030888033"/>
  </r>
  <r>
    <x v="1"/>
    <s v="S2/TEST_20170601_042544_2"/>
    <s v="all_channel"/>
    <x v="3"/>
    <s v="median"/>
    <n v="32"/>
    <s v="E9"/>
    <n v="342"/>
    <n v="79"/>
    <n v="20"/>
    <n v="0.81235154394299292"/>
    <n v="0.94475138121546964"/>
    <n v="0.87356321839080475"/>
  </r>
  <r>
    <x v="1"/>
    <s v="S19/S32_20190116_041137_2"/>
    <s v="all_channel"/>
    <x v="0"/>
    <m/>
    <n v="32"/>
    <s v="E22"/>
    <n v="771"/>
    <n v="191"/>
    <n v="16"/>
    <n v="0.80145530145530142"/>
    <n v="0.9796696315120712"/>
    <n v="0.88164665523156094"/>
  </r>
  <r>
    <x v="1"/>
    <s v="S19/S32_20190116_041137_2"/>
    <s v="all_channel"/>
    <x v="1"/>
    <m/>
    <n v="32"/>
    <s v="E23"/>
    <n v="773"/>
    <n v="16"/>
    <n v="14"/>
    <n v="0.97972116603295323"/>
    <n v="0.98221092757306239"/>
    <n v="0.980964467005076"/>
  </r>
  <r>
    <x v="1"/>
    <s v="S19/S32_20190116_041137_2"/>
    <s v="all_channel"/>
    <x v="2"/>
    <s v="mean"/>
    <n v="32"/>
    <s v="E22"/>
    <n v="771"/>
    <n v="20"/>
    <n v="16"/>
    <n v="0.97471554993678877"/>
    <n v="0.9796696315120712"/>
    <n v="0.97718631178707238"/>
  </r>
  <r>
    <x v="1"/>
    <s v="S19/S32_20190116_041137_2"/>
    <s v="all_channel"/>
    <x v="3"/>
    <s v="median"/>
    <n v="32"/>
    <s v="E22"/>
    <n v="772"/>
    <n v="23"/>
    <n v="15"/>
    <n v="0.97106918238993722"/>
    <n v="0.9809402795425668"/>
    <n v="0.9759797724399496"/>
  </r>
  <r>
    <x v="1"/>
    <s v="S16/S29_20190111_034326_2"/>
    <s v="all_channel"/>
    <x v="0"/>
    <m/>
    <n v="32"/>
    <s v="E9"/>
    <n v="1985"/>
    <n v="40"/>
    <n v="90"/>
    <n v="0.98024691358024696"/>
    <n v="0.95662650602409638"/>
    <n v="0.96829268292682924"/>
  </r>
  <r>
    <x v="1"/>
    <s v="S16/S29_20190111_034326_2"/>
    <s v="all_channel"/>
    <x v="1"/>
    <m/>
    <n v="32"/>
    <s v="E9"/>
    <n v="55"/>
    <n v="81"/>
    <n v="2020"/>
    <n v="0.4044117647058823"/>
    <n v="2.65060240963855E-2"/>
    <n v="4.9751243781094502E-2"/>
  </r>
  <r>
    <x v="1"/>
    <s v="S16/S29_20190111_034326_2"/>
    <s v="all_channel"/>
    <x v="2"/>
    <s v="mean"/>
    <n v="32"/>
    <s v="E9"/>
    <n v="1231"/>
    <n v="17"/>
    <n v="844"/>
    <n v="0.98637820512820518"/>
    <n v="0.59325301204819281"/>
    <n v="0.74089678001805592"/>
  </r>
  <r>
    <x v="1"/>
    <s v="S16/S29_20190111_034326_2"/>
    <s v="all_channel"/>
    <x v="3"/>
    <s v="median"/>
    <n v="32"/>
    <s v="E9"/>
    <n v="1600"/>
    <n v="21"/>
    <n v="475"/>
    <n v="0.98704503392967302"/>
    <n v="0.77108433734939763"/>
    <n v="0.86580086580086579"/>
  </r>
  <r>
    <x v="1"/>
    <s v="S22/S35_20190123_040805_2"/>
    <s v="all_channel"/>
    <x v="0"/>
    <m/>
    <n v="32"/>
    <s v="E9"/>
    <n v="545"/>
    <n v="428"/>
    <n v="74"/>
    <n v="0.56012332990750258"/>
    <n v="0.88045234248788373"/>
    <n v="0.68467336683417079"/>
  </r>
  <r>
    <x v="1"/>
    <s v="S22/S35_20190123_040805_2"/>
    <s v="all_channel"/>
    <x v="1"/>
    <m/>
    <n v="32"/>
    <s v="E22"/>
    <n v="13"/>
    <n v="7"/>
    <n v="606"/>
    <n v="0.65"/>
    <n v="2.10016155088853E-2"/>
    <n v="4.0688575899843503E-2"/>
  </r>
  <r>
    <x v="1"/>
    <s v="S22/S35_20190123_040805_2"/>
    <s v="all_channel"/>
    <x v="2"/>
    <s v="mean"/>
    <n v="32"/>
    <s v="E9"/>
    <n v="450"/>
    <n v="133"/>
    <n v="169"/>
    <n v="0.77186963979416812"/>
    <n v="0.72697899838449109"/>
    <n v="0.74875207986688852"/>
  </r>
  <r>
    <x v="1"/>
    <s v="S22/S35_20190123_040805_2"/>
    <s v="all_channel"/>
    <x v="3"/>
    <s v="median"/>
    <n v="32"/>
    <s v="E9"/>
    <n v="460"/>
    <n v="134"/>
    <n v="159"/>
    <n v="0.77441077441077444"/>
    <n v="0.74313408723747976"/>
    <n v="0.75845012366034636"/>
  </r>
  <r>
    <x v="1"/>
    <s v="S23/S36_20190125_040931"/>
    <s v="all_channel"/>
    <x v="0"/>
    <m/>
    <n v="32"/>
    <s v="E23"/>
    <n v="793"/>
    <n v="97"/>
    <n v="24"/>
    <n v="0.89101123595505616"/>
    <n v="0.97062423500612005"/>
    <n v="0.92911540714704155"/>
  </r>
  <r>
    <x v="1"/>
    <s v="S23/S36_20190125_040931"/>
    <s v="all_channel"/>
    <x v="1"/>
    <m/>
    <n v="32"/>
    <s v="E84"/>
    <n v="380"/>
    <n v="85"/>
    <n v="437"/>
    <n v="0.81720430107526887"/>
    <n v="0.46511627906976738"/>
    <n v="0.59282371294851799"/>
  </r>
  <r>
    <x v="1"/>
    <s v="S23/S36_20190125_040931"/>
    <s v="all_channel"/>
    <x v="2"/>
    <s v="mean"/>
    <n v="32"/>
    <s v="E22"/>
    <n v="792"/>
    <n v="7"/>
    <n v="25"/>
    <n v="0.99123904881101377"/>
    <n v="0.96940024479804165"/>
    <n v="0.9801980198019804"/>
  </r>
  <r>
    <x v="1"/>
    <s v="S23/S36_20190125_040931"/>
    <s v="all_channel"/>
    <x v="3"/>
    <s v="median"/>
    <n v="32"/>
    <s v="E22"/>
    <n v="794"/>
    <n v="9"/>
    <n v="23"/>
    <n v="0.98879202988792037"/>
    <n v="0.97184822521419845"/>
    <n v="0.98024691358024685"/>
  </r>
  <r>
    <x v="1"/>
    <s v="S23/S36_20190125_040931_2"/>
    <s v="all_channel"/>
    <x v="0"/>
    <m/>
    <n v="32"/>
    <s v="E22"/>
    <n v="839"/>
    <n v="199"/>
    <n v="32"/>
    <n v="0.80828516377649329"/>
    <n v="0.96326061997703805"/>
    <n v="0.87899423782084862"/>
  </r>
  <r>
    <x v="1"/>
    <s v="S23/S36_20190125_040931_2"/>
    <s v="all_channel"/>
    <x v="1"/>
    <m/>
    <n v="32"/>
    <s v="E47"/>
    <n v="110"/>
    <n v="209"/>
    <n v="761"/>
    <n v="0.34482758620689657"/>
    <n v="0.1262916188289322"/>
    <n v="0.18487394957983189"/>
  </r>
  <r>
    <x v="1"/>
    <s v="S23/S36_20190125_040931_2"/>
    <s v="all_channel"/>
    <x v="2"/>
    <s v="mean"/>
    <n v="32"/>
    <s v="E22"/>
    <n v="808"/>
    <n v="53"/>
    <n v="63"/>
    <n v="0.93844367015098717"/>
    <n v="0.92766934557979319"/>
    <n v="0.93302540415704383"/>
  </r>
  <r>
    <x v="1"/>
    <s v="S23/S36_20190125_040931_2"/>
    <s v="all_channel"/>
    <x v="3"/>
    <s v="median"/>
    <n v="32"/>
    <s v="E22"/>
    <n v="814"/>
    <n v="56"/>
    <n v="57"/>
    <n v="0.93563218390804603"/>
    <n v="0.93455797933409879"/>
    <n v="0.93509477311889722"/>
  </r>
  <r>
    <x v="1"/>
    <s v="S26/S39_20190130_052313_3"/>
    <s v="all_channel"/>
    <x v="0"/>
    <m/>
    <n v="32"/>
    <s v="E22"/>
    <n v="636"/>
    <n v="90"/>
    <n v="58"/>
    <n v="0.87603305785123964"/>
    <n v="0.91642651296829958"/>
    <n v="0.89577464788732397"/>
  </r>
  <r>
    <x v="1"/>
    <s v="S26/S39_20190130_052313_3"/>
    <s v="all_channel"/>
    <x v="1"/>
    <m/>
    <n v="32"/>
    <s v="E117"/>
    <n v="7"/>
    <n v="24"/>
    <n v="687"/>
    <n v="0.22580645161290319"/>
    <n v="1.00864553314121E-2"/>
    <n v="1.9310344827586201E-2"/>
  </r>
  <r>
    <x v="1"/>
    <s v="S26/S39_20190130_052313_3"/>
    <s v="all_channel"/>
    <x v="2"/>
    <s v="mean"/>
    <n v="32"/>
    <s v="E22"/>
    <n v="575"/>
    <n v="41"/>
    <n v="119"/>
    <n v="0.93344155844155841"/>
    <n v="0.82853025936599423"/>
    <n v="0.87786259541984735"/>
  </r>
  <r>
    <x v="1"/>
    <s v="S26/S39_20190130_052313_3"/>
    <s v="all_channel"/>
    <x v="3"/>
    <s v="median"/>
    <n v="32"/>
    <s v="E22"/>
    <n v="592"/>
    <n v="48"/>
    <n v="102"/>
    <n v="0.92500000000000004"/>
    <n v="0.85302593659942361"/>
    <n v="0.88755622188905536"/>
  </r>
  <r>
    <x v="1"/>
    <s v="S3/S03_20170605_033654_3"/>
    <s v="all_channel"/>
    <x v="0"/>
    <m/>
    <n v="32"/>
    <s v="E22"/>
    <n v="84"/>
    <n v="379"/>
    <n v="7"/>
    <n v="0.1814254859611231"/>
    <n v="0.92307692307692324"/>
    <n v="0.30324909747292422"/>
  </r>
  <r>
    <x v="1"/>
    <s v="S3/S03_20170605_033654_3"/>
    <s v="all_channel"/>
    <x v="1"/>
    <m/>
    <n v="32"/>
    <s v="E9"/>
    <n v="52"/>
    <n v="157"/>
    <n v="39"/>
    <n v="0.24880382775119611"/>
    <n v="0.5714285714285714"/>
    <n v="0.34666666666666668"/>
  </r>
  <r>
    <x v="1"/>
    <s v="S3/S03_20170605_033654_3"/>
    <s v="all_channel"/>
    <x v="2"/>
    <s v="mean"/>
    <n v="32"/>
    <s v="E22"/>
    <n v="74"/>
    <n v="60"/>
    <n v="17"/>
    <n v="0.55223880597014929"/>
    <n v="0.81318681318681318"/>
    <n v="0.65777777777777779"/>
  </r>
  <r>
    <x v="1"/>
    <s v="S3/S03_20170605_033654_3"/>
    <s v="all_channel"/>
    <x v="3"/>
    <s v="median"/>
    <n v="32"/>
    <s v="E22"/>
    <n v="74"/>
    <n v="62"/>
    <n v="17"/>
    <n v="0.54411764705882348"/>
    <n v="0.81318681318681318"/>
    <n v="0.65198237885462551"/>
  </r>
  <r>
    <x v="1"/>
    <s v="S3/S03_20170605_033654"/>
    <s v="all_channel"/>
    <x v="0"/>
    <m/>
    <n v="32"/>
    <s v="E23"/>
    <n v="54"/>
    <n v="316"/>
    <n v="3"/>
    <n v="0.1459459459459459"/>
    <n v="0.94736842105263164"/>
    <n v="0.25292740046838408"/>
  </r>
  <r>
    <x v="1"/>
    <s v="S3/S03_20170605_033654"/>
    <s v="all_channel"/>
    <x v="1"/>
    <m/>
    <n v="32"/>
    <s v="E9"/>
    <n v="54"/>
    <n v="154"/>
    <n v="3"/>
    <n v="0.25961538461538458"/>
    <n v="0.94736842105263164"/>
    <n v="0.40754716981132078"/>
  </r>
  <r>
    <x v="1"/>
    <s v="S3/S03_20170605_033654"/>
    <s v="all_channel"/>
    <x v="2"/>
    <s v="mean"/>
    <n v="32"/>
    <s v="E3"/>
    <n v="54"/>
    <n v="24"/>
    <n v="3"/>
    <n v="0.69230769230769229"/>
    <n v="0.94736842105263164"/>
    <n v="0.79999999999999993"/>
  </r>
  <r>
    <x v="1"/>
    <s v="S3/S03_20170605_033654"/>
    <s v="all_channel"/>
    <x v="3"/>
    <s v="median"/>
    <n v="32"/>
    <s v="E3"/>
    <n v="54"/>
    <n v="24"/>
    <n v="3"/>
    <n v="0.69230769230769229"/>
    <n v="0.94736842105263164"/>
    <n v="0.79999999999999993"/>
  </r>
  <r>
    <x v="1"/>
    <s v="S23/S36_20190125_040931_3"/>
    <s v="all_channel"/>
    <x v="0"/>
    <m/>
    <n v="32"/>
    <s v="E22"/>
    <n v="922"/>
    <n v="276"/>
    <n v="32"/>
    <n v="0.76961602671118534"/>
    <n v="0.96645702306079662"/>
    <n v="0.85687732342007439"/>
  </r>
  <r>
    <x v="1"/>
    <s v="S23/S36_20190125_040931_3"/>
    <s v="all_channel"/>
    <x v="1"/>
    <m/>
    <n v="32"/>
    <s v="E37"/>
    <n v="63"/>
    <n v="457"/>
    <n v="891"/>
    <n v="0.1211538461538461"/>
    <n v="6.6037735849056603E-2"/>
    <n v="8.54816824966078E-2"/>
  </r>
  <r>
    <x v="1"/>
    <s v="S23/S36_20190125_040931_3"/>
    <s v="all_channel"/>
    <x v="2"/>
    <s v="mean"/>
    <n v="32"/>
    <s v="E22"/>
    <n v="831"/>
    <n v="125"/>
    <n v="123"/>
    <n v="0.86924686192468614"/>
    <n v="0.87106918238993714"/>
    <n v="0.87015706806282722"/>
  </r>
  <r>
    <x v="1"/>
    <s v="S23/S36_20190125_040931_3"/>
    <s v="all_channel"/>
    <x v="3"/>
    <s v="median"/>
    <n v="32"/>
    <s v="E22"/>
    <n v="851"/>
    <n v="131"/>
    <n v="103"/>
    <n v="0.86659877800407337"/>
    <n v="0.89203354297693915"/>
    <n v="0.87913223140495866"/>
  </r>
  <r>
    <x v="1"/>
    <s v="S24/S38_20190129_035118_3"/>
    <s v="all_channel"/>
    <x v="0"/>
    <m/>
    <n v="32"/>
    <s v="E22"/>
    <n v="819"/>
    <n v="109"/>
    <n v="45"/>
    <n v="0.88254310344827591"/>
    <n v="0.94791666666666663"/>
    <n v="0.9140625"/>
  </r>
  <r>
    <x v="1"/>
    <s v="S24/S38_20190129_035118_3"/>
    <s v="all_channel"/>
    <x v="1"/>
    <m/>
    <n v="32"/>
    <s v="E3"/>
    <n v="781"/>
    <n v="221"/>
    <n v="83"/>
    <n v="0.779441117764471"/>
    <n v="0.90393518518518523"/>
    <n v="0.83708467309753487"/>
  </r>
  <r>
    <x v="1"/>
    <s v="S24/S38_20190129_035118_3"/>
    <s v="all_channel"/>
    <x v="2"/>
    <s v="mean"/>
    <n v="32"/>
    <s v="E22"/>
    <n v="516"/>
    <n v="40"/>
    <n v="348"/>
    <n v="0.92805755395683442"/>
    <n v="0.59722222222222221"/>
    <n v="0.72676056338028161"/>
  </r>
  <r>
    <x v="1"/>
    <s v="S24/S38_20190129_035118_3"/>
    <s v="all_channel"/>
    <x v="3"/>
    <s v="median"/>
    <n v="32"/>
    <s v="E22"/>
    <n v="572"/>
    <n v="60"/>
    <n v="292"/>
    <n v="0.90506329113924056"/>
    <n v="0.66203703703703709"/>
    <n v="0.76470588235294112"/>
  </r>
  <r>
    <x v="1"/>
    <s v="S3/S03_20170605_033654_2"/>
    <s v="all_channel"/>
    <x v="0"/>
    <m/>
    <n v="32"/>
    <s v="E22"/>
    <n v="91"/>
    <n v="344"/>
    <n v="2"/>
    <n v="0.2091954022988505"/>
    <n v="0.978494623655914"/>
    <n v="0.34469696969696972"/>
  </r>
  <r>
    <x v="1"/>
    <s v="S3/S03_20170605_033654_2"/>
    <s v="all_channel"/>
    <x v="1"/>
    <m/>
    <n v="32"/>
    <s v="E9"/>
    <n v="91"/>
    <n v="351"/>
    <n v="2"/>
    <n v="0.20588235294117641"/>
    <n v="0.978494623655914"/>
    <n v="0.34018691588785049"/>
  </r>
  <r>
    <x v="1"/>
    <s v="S3/S03_20170605_033654_2"/>
    <s v="all_channel"/>
    <x v="2"/>
    <s v="mean"/>
    <n v="32"/>
    <s v="E9"/>
    <n v="92"/>
    <n v="17"/>
    <n v="1"/>
    <n v="0.84403669724770647"/>
    <n v="0.989247311827957"/>
    <n v="0.91089108910891081"/>
  </r>
  <r>
    <x v="1"/>
    <s v="S3/S03_20170605_033654_2"/>
    <s v="all_channel"/>
    <x v="3"/>
    <s v="median"/>
    <n v="32"/>
    <s v="E9"/>
    <n v="92"/>
    <n v="19"/>
    <n v="1"/>
    <n v="0.8288288288288288"/>
    <n v="0.989247311827957"/>
    <n v="0.90196078431372539"/>
  </r>
  <r>
    <x v="1"/>
    <s v="S4/S04_20170606_045500"/>
    <s v="all_channel"/>
    <x v="0"/>
    <m/>
    <n v="32"/>
    <s v="E9"/>
    <n v="563"/>
    <n v="157"/>
    <n v="10"/>
    <n v="0.78194444444444444"/>
    <n v="0.98254799301919715"/>
    <n v="0.87084300077339527"/>
  </r>
  <r>
    <x v="1"/>
    <s v="S4/S04_20170606_045500"/>
    <s v="all_channel"/>
    <x v="1"/>
    <m/>
    <n v="32"/>
    <s v="E9"/>
    <n v="513"/>
    <n v="10"/>
    <n v="60"/>
    <n v="0.98087954110898656"/>
    <n v="0.89528795811518325"/>
    <n v="0.93613138686131403"/>
  </r>
  <r>
    <x v="1"/>
    <s v="S4/S04_20170606_045500"/>
    <s v="all_channel"/>
    <x v="2"/>
    <s v="mean"/>
    <n v="32"/>
    <s v="E9"/>
    <n v="553"/>
    <n v="16"/>
    <n v="20"/>
    <n v="0.97188049209138838"/>
    <n v="0.96509598603839442"/>
    <n v="0.96847635726795078"/>
  </r>
  <r>
    <x v="1"/>
    <s v="S4/S04_20170606_045500"/>
    <s v="all_channel"/>
    <x v="3"/>
    <s v="median"/>
    <n v="32"/>
    <s v="E9"/>
    <n v="556"/>
    <n v="17"/>
    <n v="17"/>
    <n v="0.9703315881326352"/>
    <n v="0.9703315881326352"/>
    <n v="0.9703315881326352"/>
  </r>
  <r>
    <x v="1"/>
    <s v="S5/S05_20170607_032937_3"/>
    <s v="all_channel"/>
    <x v="0"/>
    <m/>
    <n v="32"/>
    <s v="E9"/>
    <n v="407"/>
    <n v="77"/>
    <n v="3"/>
    <n v="0.84090909090909094"/>
    <n v="0.9926829268292684"/>
    <n v="0.91051454138702481"/>
  </r>
  <r>
    <x v="1"/>
    <s v="S5/S05_20170607_032937_3"/>
    <s v="all_channel"/>
    <x v="1"/>
    <m/>
    <n v="32"/>
    <s v="E9"/>
    <n v="403"/>
    <n v="49"/>
    <n v="7"/>
    <n v="0.8915929203539823"/>
    <n v="0.98292682926829278"/>
    <n v="0.9350348027842228"/>
  </r>
  <r>
    <x v="1"/>
    <s v="S5/S05_20170607_032937_3"/>
    <s v="all_channel"/>
    <x v="2"/>
    <s v="mean"/>
    <n v="32"/>
    <s v="E9"/>
    <n v="397"/>
    <n v="31"/>
    <n v="13"/>
    <n v="0.92757009345794394"/>
    <n v="0.96829268292682924"/>
    <n v="0.94749403341288785"/>
  </r>
  <r>
    <x v="1"/>
    <s v="S5/S05_20170607_032937_3"/>
    <s v="all_channel"/>
    <x v="3"/>
    <s v="median"/>
    <n v="32"/>
    <s v="E9"/>
    <n v="400"/>
    <n v="34"/>
    <n v="10"/>
    <n v="0.92165898617511521"/>
    <n v="0.97560975609756095"/>
    <n v="0.94786729857819896"/>
  </r>
  <r>
    <x v="1"/>
    <s v="S4/S04_20170606_045500_2"/>
    <s v="all_channel"/>
    <x v="0"/>
    <m/>
    <n v="32"/>
    <s v="E9"/>
    <n v="781"/>
    <n v="111"/>
    <n v="16"/>
    <n v="0.87556053811659196"/>
    <n v="0.97992471769134237"/>
    <n v="0.92480757844878625"/>
  </r>
  <r>
    <x v="1"/>
    <s v="S4/S04_20170606_045500_2"/>
    <s v="all_channel"/>
    <x v="1"/>
    <m/>
    <n v="32"/>
    <s v="E117"/>
    <n v="452"/>
    <n v="2582"/>
    <n v="345"/>
    <n v="0.14897824653922209"/>
    <n v="0.56712672521957341"/>
    <n v="0.23596972069955621"/>
  </r>
  <r>
    <x v="1"/>
    <s v="S4/S04_20170606_045500_2"/>
    <s v="all_channel"/>
    <x v="2"/>
    <s v="mean"/>
    <n v="32"/>
    <s v="E9"/>
    <n v="744"/>
    <n v="28"/>
    <n v="53"/>
    <n v="0.9637305699481864"/>
    <n v="0.933500627352572"/>
    <n v="0.94837476099426399"/>
  </r>
  <r>
    <x v="1"/>
    <s v="S4/S04_20170606_045500_2"/>
    <s v="all_channel"/>
    <x v="3"/>
    <s v="median"/>
    <n v="32"/>
    <s v="E9"/>
    <n v="753"/>
    <n v="32"/>
    <n v="44"/>
    <n v="0.95923566878980882"/>
    <n v="0.94479297365119197"/>
    <n v="0.95195954487989876"/>
  </r>
  <r>
    <x v="1"/>
    <s v="S6/S06_20170817_034716_3"/>
    <s v="all_channel"/>
    <x v="0"/>
    <m/>
    <n v="32"/>
    <s v="E124"/>
    <n v="282"/>
    <n v="280"/>
    <n v="24"/>
    <n v="0.50177935943060503"/>
    <n v="0.92156862745098045"/>
    <n v="0.64976958525345618"/>
  </r>
  <r>
    <x v="1"/>
    <s v="S6/S06_20170817_034716_3"/>
    <s v="all_channel"/>
    <x v="1"/>
    <m/>
    <n v="32"/>
    <s v="E9"/>
    <n v="295"/>
    <n v="69"/>
    <n v="11"/>
    <n v="0.81043956043956045"/>
    <n v="0.96405228758169936"/>
    <n v="0.88059701492537312"/>
  </r>
  <r>
    <x v="1"/>
    <s v="S6/S06_20170817_034716_3"/>
    <s v="all_channel"/>
    <x v="2"/>
    <s v="mean"/>
    <n v="32"/>
    <s v="E22"/>
    <n v="295"/>
    <n v="62"/>
    <n v="11"/>
    <n v="0.8263305322128851"/>
    <n v="0.96405228758169936"/>
    <n v="0.88989441930618407"/>
  </r>
  <r>
    <x v="1"/>
    <s v="S6/S06_20170817_034716_3"/>
    <s v="all_channel"/>
    <x v="3"/>
    <s v="median"/>
    <n v="32"/>
    <s v="E22"/>
    <n v="296"/>
    <n v="69"/>
    <n v="10"/>
    <n v="0.81095890410958904"/>
    <n v="0.96732026143790839"/>
    <n v="0.8822652757078987"/>
  </r>
  <r>
    <x v="1"/>
    <s v="S24/S38_20190129_035118"/>
    <s v="all_channel"/>
    <x v="0"/>
    <m/>
    <n v="32"/>
    <s v="E9"/>
    <n v="1165"/>
    <n v="103"/>
    <n v="59"/>
    <n v="0.91876971608832803"/>
    <n v="0.95179738562091498"/>
    <n v="0.93499197431781678"/>
  </r>
  <r>
    <x v="1"/>
    <s v="S24/S38_20190129_035118"/>
    <s v="all_channel"/>
    <x v="1"/>
    <m/>
    <n v="32"/>
    <s v="E9"/>
    <n v="1092"/>
    <n v="64"/>
    <n v="132"/>
    <n v="0.94463667820069197"/>
    <n v="0.89215686274509809"/>
    <n v="0.91764705882352959"/>
  </r>
  <r>
    <x v="1"/>
    <s v="S24/S38_20190129_035118"/>
    <s v="all_channel"/>
    <x v="2"/>
    <s v="mean"/>
    <n v="32"/>
    <s v="E9"/>
    <n v="785"/>
    <n v="32"/>
    <n v="439"/>
    <n v="0.96083231334149322"/>
    <n v="0.6413398692810458"/>
    <n v="0.76923076923076927"/>
  </r>
  <r>
    <x v="1"/>
    <s v="S24/S38_20190129_035118"/>
    <s v="all_channel"/>
    <x v="3"/>
    <s v="median"/>
    <n v="32"/>
    <s v="E9"/>
    <n v="855"/>
    <n v="36"/>
    <n v="369"/>
    <n v="0.95959595959595956"/>
    <n v="0.69852941176470584"/>
    <n v="0.80851063829787229"/>
  </r>
  <r>
    <x v="1"/>
    <s v="S5/S05_20170607_032937"/>
    <s v="all_channel"/>
    <x v="0"/>
    <m/>
    <n v="32"/>
    <s v="E3"/>
    <n v="305"/>
    <n v="183"/>
    <n v="10"/>
    <n v="0.625"/>
    <n v="0.96825396825396837"/>
    <n v="0.759651307596513"/>
  </r>
  <r>
    <x v="1"/>
    <s v="S5/S05_20170607_032937"/>
    <s v="all_channel"/>
    <x v="1"/>
    <m/>
    <n v="32"/>
    <s v="E9"/>
    <n v="306"/>
    <n v="42"/>
    <n v="9"/>
    <n v="0.87931034482758619"/>
    <n v="0.97142857142857142"/>
    <n v="0.92307692307692302"/>
  </r>
  <r>
    <x v="1"/>
    <s v="S5/S05_20170607_032937"/>
    <s v="all_channel"/>
    <x v="2"/>
    <s v="mean"/>
    <n v="32"/>
    <s v="E22"/>
    <n v="305"/>
    <n v="37"/>
    <n v="10"/>
    <n v="0.89181286549707606"/>
    <n v="0.96825396825396837"/>
    <n v="0.92846270928462704"/>
  </r>
  <r>
    <x v="1"/>
    <s v="S5/S05_20170607_032937"/>
    <s v="all_channel"/>
    <x v="3"/>
    <s v="median"/>
    <n v="32"/>
    <s v="E9"/>
    <n v="305"/>
    <n v="37"/>
    <n v="10"/>
    <n v="0.89181286549707606"/>
    <n v="0.96825396825396837"/>
    <n v="0.92846270928462704"/>
  </r>
  <r>
    <x v="1"/>
    <s v="S24/S38_20190129_035118_2"/>
    <s v="all_channel"/>
    <x v="0"/>
    <m/>
    <n v="32"/>
    <s v="E9"/>
    <n v="1026"/>
    <n v="157"/>
    <n v="91"/>
    <n v="0.86728655959425194"/>
    <n v="0.91853178155774395"/>
    <n v="0.89217391304347826"/>
  </r>
  <r>
    <x v="1"/>
    <s v="S24/S38_20190129_035118_2"/>
    <s v="all_channel"/>
    <x v="1"/>
    <m/>
    <n v="32"/>
    <s v="E22"/>
    <n v="1012"/>
    <n v="196"/>
    <n v="105"/>
    <n v="0.83774834437086088"/>
    <n v="0.90599820948970455"/>
    <n v="0.8705376344086021"/>
  </r>
  <r>
    <x v="1"/>
    <s v="S24/S38_20190129_035118_2"/>
    <s v="all_channel"/>
    <x v="2"/>
    <s v="mean"/>
    <n v="32"/>
    <s v="E9"/>
    <n v="570"/>
    <n v="25"/>
    <n v="547"/>
    <n v="0.95798319327731096"/>
    <n v="0.51029543419874668"/>
    <n v="0.66588785046728982"/>
  </r>
  <r>
    <x v="1"/>
    <s v="S24/S38_20190129_035118_2"/>
    <s v="all_channel"/>
    <x v="3"/>
    <s v="median"/>
    <n v="32"/>
    <s v="E9"/>
    <n v="625"/>
    <n v="34"/>
    <n v="492"/>
    <n v="0.94840667678300439"/>
    <n v="0.55953446732318712"/>
    <n v="0.7038288288288288"/>
  </r>
  <r>
    <x v="1"/>
    <s v="S5/S05_20170607_032937_2"/>
    <s v="all_channel"/>
    <x v="0"/>
    <m/>
    <n v="32"/>
    <s v="E9"/>
    <n v="514"/>
    <n v="102"/>
    <n v="10"/>
    <n v="0.83441558441558439"/>
    <n v="0.98091603053435117"/>
    <n v="0.90175438596491242"/>
  </r>
  <r>
    <x v="1"/>
    <s v="S5/S05_20170607_032937_2"/>
    <s v="all_channel"/>
    <x v="1"/>
    <m/>
    <n v="32"/>
    <s v="E22"/>
    <n v="502"/>
    <n v="82"/>
    <n v="22"/>
    <n v="0.8595890410958904"/>
    <n v="0.95801526717557239"/>
    <n v="0.90613718411552358"/>
  </r>
  <r>
    <x v="1"/>
    <s v="S5/S05_20170607_032937_2"/>
    <s v="all_channel"/>
    <x v="2"/>
    <s v="mean"/>
    <n v="32"/>
    <s v="E9"/>
    <n v="507"/>
    <n v="34"/>
    <n v="17"/>
    <n v="0.93715341959334564"/>
    <n v="0.96755725190839681"/>
    <n v="0.95211267605633798"/>
  </r>
  <r>
    <x v="1"/>
    <s v="S5/S05_20170607_032937_2"/>
    <s v="all_channel"/>
    <x v="3"/>
    <s v="median"/>
    <n v="32"/>
    <s v="E9"/>
    <n v="509"/>
    <n v="38"/>
    <n v="15"/>
    <n v="0.93053016453382076"/>
    <n v="0.97137404580152675"/>
    <n v="0.95051353874883282"/>
  </r>
  <r>
    <x v="1"/>
    <s v="S6/S06_20170817_034716"/>
    <s v="all_channel"/>
    <x v="0"/>
    <m/>
    <n v="32"/>
    <s v="E124"/>
    <n v="300"/>
    <n v="348"/>
    <n v="51"/>
    <n v="0.46296296296296291"/>
    <n v="0.85470085470085466"/>
    <n v="0.60060060060060061"/>
  </r>
  <r>
    <x v="1"/>
    <s v="S6/S06_20170817_034716"/>
    <s v="all_channel"/>
    <x v="1"/>
    <m/>
    <n v="32"/>
    <s v="E9"/>
    <n v="320"/>
    <n v="46"/>
    <n v="31"/>
    <n v="0.87431693989071035"/>
    <n v="0.91168091168091159"/>
    <n v="0.89260808926080881"/>
  </r>
  <r>
    <x v="1"/>
    <s v="S6/S06_20170817_034716"/>
    <s v="all_channel"/>
    <x v="2"/>
    <s v="mean"/>
    <n v="32"/>
    <s v="E9"/>
    <n v="324"/>
    <n v="63"/>
    <n v="27"/>
    <n v="0.83720930232558144"/>
    <n v="0.92307692307692324"/>
    <n v="0.87804878048780499"/>
  </r>
  <r>
    <x v="1"/>
    <s v="S6/S06_20170817_034716"/>
    <s v="all_channel"/>
    <x v="3"/>
    <s v="median"/>
    <n v="32"/>
    <s v="E9"/>
    <n v="325"/>
    <n v="69"/>
    <n v="26"/>
    <n v="0.82487309644670048"/>
    <n v="0.92592592592592604"/>
    <n v="0.87248322147651003"/>
  </r>
  <r>
    <x v="1"/>
    <s v="S6/S06_20170817_034716_2"/>
    <s v="all_channel"/>
    <x v="0"/>
    <m/>
    <n v="32"/>
    <s v="E11"/>
    <n v="431"/>
    <n v="349"/>
    <n v="31"/>
    <n v="0.5525641025641026"/>
    <n v="0.93290043290043279"/>
    <n v="0.69404186795491141"/>
  </r>
  <r>
    <x v="1"/>
    <s v="S6/S06_20170817_034716_2"/>
    <s v="all_channel"/>
    <x v="1"/>
    <m/>
    <n v="32"/>
    <s v="E9"/>
    <n v="439"/>
    <n v="51"/>
    <n v="23"/>
    <n v="0.89591836734693875"/>
    <n v="0.95021645021645018"/>
    <n v="0.92226890756302515"/>
  </r>
  <r>
    <x v="1"/>
    <s v="S6/S06_20170817_034716_2"/>
    <s v="all_channel"/>
    <x v="2"/>
    <s v="mean"/>
    <n v="32"/>
    <s v="E22"/>
    <n v="445"/>
    <n v="77"/>
    <n v="17"/>
    <n v="0.85249042145593867"/>
    <n v="0.96320346320346317"/>
    <n v="0.90447154471544722"/>
  </r>
  <r>
    <x v="1"/>
    <s v="S6/S06_20170817_034716_2"/>
    <s v="all_channel"/>
    <x v="3"/>
    <s v="median"/>
    <n v="32"/>
    <s v="E22"/>
    <n v="448"/>
    <n v="89"/>
    <n v="14"/>
    <n v="0.83426443202979517"/>
    <n v="0.96969696969696961"/>
    <n v="0.89689689689689689"/>
  </r>
  <r>
    <x v="1"/>
    <s v="S4/S04_20170606_045500_3"/>
    <s v="all_channel"/>
    <x v="0"/>
    <m/>
    <n v="32"/>
    <s v="E9"/>
    <n v="1226"/>
    <n v="45"/>
    <n v="10"/>
    <n v="0.96459480723839497"/>
    <n v="0.99190938511326865"/>
    <n v="0.97806142800159557"/>
  </r>
  <r>
    <x v="1"/>
    <s v="S4/S04_20170606_045500_3"/>
    <s v="all_channel"/>
    <x v="1"/>
    <m/>
    <n v="32"/>
    <s v="E9"/>
    <n v="906"/>
    <n v="18"/>
    <n v="330"/>
    <n v="0.98051948051948057"/>
    <n v="0.73300970873786409"/>
    <n v="0.83888888888888891"/>
  </r>
  <r>
    <x v="1"/>
    <s v="S4/S04_20170606_045500_3"/>
    <s v="all_channel"/>
    <x v="2"/>
    <s v="mean"/>
    <n v="32"/>
    <s v="E9"/>
    <n v="1203"/>
    <n v="35"/>
    <n v="33"/>
    <n v="0.97172859450726978"/>
    <n v="0.97330097087378642"/>
    <n v="0.97251414713015361"/>
  </r>
  <r>
    <x v="1"/>
    <s v="S4/S04_20170606_045500_3"/>
    <s v="all_channel"/>
    <x v="3"/>
    <s v="median"/>
    <n v="32"/>
    <s v="E9"/>
    <n v="1212"/>
    <n v="38"/>
    <n v="24"/>
    <n v="0.96960000000000002"/>
    <n v="0.98058252427184478"/>
    <n v="0.97506033789219637"/>
  </r>
  <r>
    <x v="1"/>
    <s v="S21/S34_20190122_044130_3"/>
    <s v="all_channel"/>
    <x v="0"/>
    <m/>
    <n v="32"/>
    <s v="E22"/>
    <n v="1863"/>
    <n v="5"/>
    <n v="6"/>
    <n v="0.99732334047109195"/>
    <n v="0.9967897271268058"/>
    <n v="0.99705646240299717"/>
  </r>
  <r>
    <x v="1"/>
    <s v="S21/S34_20190122_044130_3"/>
    <s v="all_channel"/>
    <x v="1"/>
    <m/>
    <n v="32"/>
    <s v="E22"/>
    <n v="1862"/>
    <n v="18"/>
    <n v="7"/>
    <n v="0.99042553191489358"/>
    <n v="0.99625468164793995"/>
    <n v="0.99333155508135496"/>
  </r>
  <r>
    <x v="1"/>
    <s v="S21/S34_20190122_044130_3"/>
    <s v="all_channel"/>
    <x v="2"/>
    <s v="mean"/>
    <n v="32"/>
    <s v="E22"/>
    <n v="1827"/>
    <n v="2"/>
    <n v="42"/>
    <n v="0.99890650628758881"/>
    <n v="0.97752808988764039"/>
    <n v="0.98810167658193615"/>
  </r>
  <r>
    <x v="1"/>
    <s v="S21/S34_20190122_044130_3"/>
    <s v="all_channel"/>
    <x v="3"/>
    <s v="median"/>
    <n v="32"/>
    <s v="E22"/>
    <n v="1849"/>
    <n v="1"/>
    <n v="20"/>
    <n v="0.99945945945945958"/>
    <n v="0.98929909042268604"/>
    <n v="0.99435332078515715"/>
  </r>
  <r>
    <x v="1"/>
    <s v="S21/S34_20190122_044130"/>
    <s v="all_channel"/>
    <x v="0"/>
    <m/>
    <n v="32"/>
    <s v="E9"/>
    <n v="1923"/>
    <n v="25"/>
    <n v="12"/>
    <n v="0.98716632443531838"/>
    <n v="0.99379844961240305"/>
    <n v="0.99047128508884885"/>
  </r>
  <r>
    <x v="1"/>
    <s v="S21/S34_20190122_044130"/>
    <s v="all_channel"/>
    <x v="1"/>
    <m/>
    <n v="32"/>
    <s v="E9"/>
    <n v="1923"/>
    <n v="25"/>
    <n v="12"/>
    <n v="0.98716632443531838"/>
    <n v="0.99379844961240305"/>
    <n v="0.99047128508884885"/>
  </r>
  <r>
    <x v="1"/>
    <s v="S21/S34_20190122_044130"/>
    <s v="all_channel"/>
    <x v="2"/>
    <s v="mean"/>
    <n v="32"/>
    <s v="E9"/>
    <n v="1902"/>
    <n v="7"/>
    <n v="33"/>
    <n v="0.99633315872184403"/>
    <n v="0.98294573643410843"/>
    <n v="0.98959417273673278"/>
  </r>
  <r>
    <x v="1"/>
    <s v="S21/S34_20190122_044130"/>
    <s v="all_channel"/>
    <x v="3"/>
    <s v="median"/>
    <n v="32"/>
    <s v="E9"/>
    <n v="1919"/>
    <n v="10"/>
    <n v="16"/>
    <n v="0.99481596682218765"/>
    <n v="0.99173126614987084"/>
    <n v="0.99327122153209124"/>
  </r>
  <r>
    <x v="1"/>
    <s v="S21/S34_20190122_044130_2"/>
    <s v="all_channel"/>
    <x v="0"/>
    <m/>
    <n v="32"/>
    <s v="E9"/>
    <n v="1971"/>
    <n v="13"/>
    <n v="25"/>
    <n v="0.99344758064516125"/>
    <n v="0.98747494989979956"/>
    <n v="0.99045226130653241"/>
  </r>
  <r>
    <x v="1"/>
    <s v="S21/S34_20190122_044130_2"/>
    <s v="all_channel"/>
    <x v="1"/>
    <m/>
    <n v="32"/>
    <s v="E22"/>
    <n v="1971"/>
    <n v="9"/>
    <n v="25"/>
    <n v="0.99545454545454559"/>
    <n v="0.98747494989979956"/>
    <n v="0.99144869215291742"/>
  </r>
  <r>
    <x v="1"/>
    <s v="S21/S34_20190122_044130_2"/>
    <s v="all_channel"/>
    <x v="2"/>
    <s v="mean"/>
    <n v="32"/>
    <s v="E9"/>
    <n v="1954"/>
    <n v="8"/>
    <n v="42"/>
    <n v="0.99592252803261982"/>
    <n v="0.97895791583166336"/>
    <n v="0.987367357251137"/>
  </r>
  <r>
    <x v="1"/>
    <s v="S21/S34_20190122_044130_2"/>
    <s v="all_channel"/>
    <x v="3"/>
    <s v="median"/>
    <n v="32"/>
    <s v="E22"/>
    <n v="1963"/>
    <n v="9"/>
    <n v="33"/>
    <n v="0.99543610547667338"/>
    <n v="0.98346693386773543"/>
    <n v="0.989415322580645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">
  <r>
    <x v="0"/>
    <s v="S01/051017m"/>
    <s v="all_channel"/>
    <x v="0"/>
    <m/>
    <n v="32"/>
    <s v="FP1"/>
    <n v="405"/>
    <n v="1461"/>
    <n v="3"/>
    <n v="0.21704180064308681"/>
    <n v="0.99264705882352944"/>
    <n v="0.35620052770448551"/>
  </r>
  <r>
    <x v="0"/>
    <s v="S01/051017m"/>
    <s v="all_channel"/>
    <x v="1"/>
    <m/>
    <n v="32"/>
    <s v="F8"/>
    <n v="8"/>
    <n v="20"/>
    <n v="400"/>
    <n v="0.2857142857142857"/>
    <n v="1.9607843137254902E-2"/>
    <n v="3.6697247706422E-2"/>
  </r>
  <r>
    <x v="0"/>
    <s v="S01/051017m"/>
    <s v="all_channel"/>
    <x v="2"/>
    <s v="mean"/>
    <n v="32"/>
    <s v="FP1"/>
    <n v="326"/>
    <n v="320"/>
    <n v="82"/>
    <n v="0.50464396284829727"/>
    <n v="0.7990196078431373"/>
    <n v="0.61859582542694502"/>
  </r>
  <r>
    <x v="0"/>
    <s v="S01/051017m"/>
    <s v="all_channel"/>
    <x v="3"/>
    <s v="median"/>
    <n v="32"/>
    <s v="FP1"/>
    <n v="331"/>
    <n v="335"/>
    <n v="77"/>
    <n v="0.49699699699699701"/>
    <n v="0.81127450980392157"/>
    <n v="0.61638733705772808"/>
  </r>
  <r>
    <x v="0"/>
    <s v="S01/060227n"/>
    <s v="all_channel"/>
    <x v="0"/>
    <m/>
    <n v="32"/>
    <s v="FP1"/>
    <n v="617"/>
    <n v="1155"/>
    <n v="2"/>
    <n v="0.34819413092550788"/>
    <n v="0.99676898222940225"/>
    <n v="0.51610204935173565"/>
  </r>
  <r>
    <x v="0"/>
    <s v="S01/060227n"/>
    <s v="all_channel"/>
    <x v="1"/>
    <m/>
    <n v="32"/>
    <s v="FT8"/>
    <n v="10"/>
    <n v="65"/>
    <n v="609"/>
    <n v="0.1333333333333333"/>
    <n v="1.6155088852988601E-2"/>
    <n v="2.8818443804034501E-2"/>
  </r>
  <r>
    <x v="0"/>
    <s v="S01/060227n"/>
    <s v="all_channel"/>
    <x v="2"/>
    <s v="mean"/>
    <n v="32"/>
    <s v="FP1"/>
    <n v="477"/>
    <n v="233"/>
    <n v="142"/>
    <n v="0.67183098591549295"/>
    <n v="0.77059773828756062"/>
    <n v="0.71783295711060946"/>
  </r>
  <r>
    <x v="0"/>
    <s v="S01/060227n"/>
    <s v="all_channel"/>
    <x v="3"/>
    <s v="median"/>
    <n v="32"/>
    <s v="FP1"/>
    <n v="499"/>
    <n v="256"/>
    <n v="120"/>
    <n v="0.66092715231788079"/>
    <n v="0.8061389337641357"/>
    <n v="0.72634643377001462"/>
  </r>
  <r>
    <x v="0"/>
    <s v="S09/060317n"/>
    <s v="all_channel"/>
    <x v="0"/>
    <m/>
    <n v="32"/>
    <s v="FP1"/>
    <n v="975"/>
    <n v="375"/>
    <n v="1"/>
    <n v="0.72222222222222221"/>
    <n v="0.99897540983606559"/>
    <n v="0.83834909716251071"/>
  </r>
  <r>
    <x v="0"/>
    <s v="S09/060317n"/>
    <s v="all_channel"/>
    <x v="1"/>
    <m/>
    <n v="32"/>
    <s v="FP1"/>
    <n v="937"/>
    <n v="87"/>
    <n v="39"/>
    <n v="0.9150390625"/>
    <n v="0.96004098360655743"/>
    <n v="0.93700000000000006"/>
  </r>
  <r>
    <x v="0"/>
    <s v="S09/060317n"/>
    <s v="all_channel"/>
    <x v="2"/>
    <s v="mean"/>
    <n v="32"/>
    <s v="FP1"/>
    <n v="965"/>
    <n v="107"/>
    <n v="11"/>
    <n v="0.90018656716417911"/>
    <n v="0.98872950819672123"/>
    <n v="0.9423828125"/>
  </r>
  <r>
    <x v="0"/>
    <s v="S09/060317n"/>
    <s v="all_channel"/>
    <x v="3"/>
    <s v="median"/>
    <n v="32"/>
    <s v="FP1"/>
    <n v="968"/>
    <n v="125"/>
    <n v="8"/>
    <n v="0.8856358645928637"/>
    <n v="0.99180327868852458"/>
    <n v="0.9357177380376992"/>
  </r>
  <r>
    <x v="0"/>
    <s v="S05/051120m"/>
    <s v="all_channel"/>
    <x v="0"/>
    <m/>
    <n v="32"/>
    <s v="F3"/>
    <n v="685"/>
    <n v="932"/>
    <n v="99"/>
    <n v="0.42362399505256648"/>
    <n v="0.87372448979591832"/>
    <n v="0.57059558517284459"/>
  </r>
  <r>
    <x v="0"/>
    <s v="S05/051120m"/>
    <s v="all_channel"/>
    <x v="1"/>
    <m/>
    <n v="32"/>
    <s v="FP2"/>
    <n v="495"/>
    <n v="364"/>
    <n v="289"/>
    <n v="0.57625145518044241"/>
    <n v="0.63137755102040816"/>
    <n v="0.60255629945222156"/>
  </r>
  <r>
    <x v="0"/>
    <s v="S05/051120m"/>
    <s v="all_channel"/>
    <x v="2"/>
    <s v="mean"/>
    <n v="32"/>
    <s v="FP1"/>
    <n v="599"/>
    <n v="329"/>
    <n v="185"/>
    <n v="0.64547413793103448"/>
    <n v="0.76403061224489799"/>
    <n v="0.69976635514018681"/>
  </r>
  <r>
    <x v="0"/>
    <s v="S05/051120m"/>
    <s v="all_channel"/>
    <x v="3"/>
    <s v="median"/>
    <n v="32"/>
    <s v="FP1"/>
    <n v="623"/>
    <n v="362"/>
    <n v="161"/>
    <n v="0.63248730964467004"/>
    <n v="0.7946428571428571"/>
    <n v="0.70435274166195594"/>
  </r>
  <r>
    <x v="0"/>
    <s v="S04/051130m"/>
    <s v="all_channel"/>
    <x v="0"/>
    <m/>
    <n v="32"/>
    <s v="F3"/>
    <n v="699"/>
    <n v="918"/>
    <n v="105"/>
    <n v="0.43228200371057512"/>
    <n v="0.86940298507462688"/>
    <n v="0.57744733581164809"/>
  </r>
  <r>
    <x v="0"/>
    <s v="S04/051130m"/>
    <s v="all_channel"/>
    <x v="1"/>
    <m/>
    <n v="32"/>
    <s v="FP2"/>
    <n v="503"/>
    <n v="356"/>
    <n v="301"/>
    <n v="0.5855646100116414"/>
    <n v="0.62562189054726369"/>
    <n v="0.60493084786530371"/>
  </r>
  <r>
    <x v="0"/>
    <s v="S04/051130m"/>
    <s v="all_channel"/>
    <x v="2"/>
    <s v="mean"/>
    <n v="32"/>
    <s v="FP1"/>
    <n v="603"/>
    <n v="325"/>
    <n v="201"/>
    <n v="0.64978448275862066"/>
    <n v="0.75"/>
    <n v="0.69630484988452668"/>
  </r>
  <r>
    <x v="0"/>
    <s v="S04/051130m"/>
    <s v="all_channel"/>
    <x v="3"/>
    <s v="median"/>
    <n v="32"/>
    <s v="FP1"/>
    <n v="626"/>
    <n v="359"/>
    <n v="178"/>
    <n v="0.63553299492385784"/>
    <n v="0.77860696517412931"/>
    <n v="0.69983230855226375"/>
  </r>
  <r>
    <x v="0"/>
    <s v="S09/060313n"/>
    <s v="all_channel"/>
    <x v="0"/>
    <m/>
    <n v="32"/>
    <s v="FP1"/>
    <n v="769"/>
    <n v="870"/>
    <n v="1"/>
    <n v="0.4691885295912141"/>
    <n v="0.99870129870129876"/>
    <n v="0.6384391863843919"/>
  </r>
  <r>
    <x v="0"/>
    <s v="S09/060313n"/>
    <s v="all_channel"/>
    <x v="1"/>
    <m/>
    <n v="32"/>
    <s v="FP1"/>
    <n v="719"/>
    <n v="184"/>
    <n v="51"/>
    <n v="0.79623477297895906"/>
    <n v="0.9337662337662338"/>
    <n v="0.85953377166766287"/>
  </r>
  <r>
    <x v="0"/>
    <s v="S09/060313n"/>
    <s v="all_channel"/>
    <x v="2"/>
    <s v="mean"/>
    <n v="32"/>
    <s v="FP2"/>
    <n v="759"/>
    <n v="338"/>
    <n v="11"/>
    <n v="0.69188696444849584"/>
    <n v="0.98571428571428577"/>
    <n v="0.81306909480449918"/>
  </r>
  <r>
    <x v="0"/>
    <s v="S09/060313n"/>
    <s v="all_channel"/>
    <x v="3"/>
    <s v="median"/>
    <n v="32"/>
    <s v="FP1"/>
    <n v="764"/>
    <n v="376"/>
    <n v="6"/>
    <n v="0.6701754385964912"/>
    <n v="0.99220779220779221"/>
    <n v="0.79999999999999993"/>
  </r>
  <r>
    <x v="0"/>
    <s v="S01/060926_2n"/>
    <s v="all_channel"/>
    <x v="0"/>
    <m/>
    <n v="32"/>
    <s v="FP1"/>
    <n v="1390"/>
    <n v="254"/>
    <n v="7"/>
    <n v="0.84549878345498786"/>
    <n v="0.99498926270579802"/>
    <n v="0.91417296941795456"/>
  </r>
  <r>
    <x v="0"/>
    <s v="S01/060926_2n"/>
    <s v="all_channel"/>
    <x v="1"/>
    <m/>
    <n v="32"/>
    <s v="F8"/>
    <n v="166"/>
    <n v="155"/>
    <n v="1231"/>
    <n v="0.51713395638629278"/>
    <n v="0.1188260558339298"/>
    <n v="0.1932479627473806"/>
  </r>
  <r>
    <x v="0"/>
    <s v="S01/060926_2n"/>
    <s v="all_channel"/>
    <x v="2"/>
    <s v="mean"/>
    <n v="32"/>
    <s v="FP1"/>
    <n v="1389"/>
    <n v="77"/>
    <n v="8"/>
    <n v="0.94747612551159621"/>
    <n v="0.99427344309234078"/>
    <n v="0.97031086273140077"/>
  </r>
  <r>
    <x v="0"/>
    <s v="S01/060926_2n"/>
    <s v="all_channel"/>
    <x v="3"/>
    <s v="median"/>
    <n v="32"/>
    <s v="FP1"/>
    <n v="1391"/>
    <n v="89"/>
    <n v="6"/>
    <n v="0.93986486486486476"/>
    <n v="0.99570508231925559"/>
    <n v="0.9669794925269376"/>
  </r>
  <r>
    <x v="0"/>
    <s v="S01/060926_1n"/>
    <s v="all_channel"/>
    <x v="0"/>
    <m/>
    <n v="32"/>
    <s v="FP1"/>
    <n v="1310"/>
    <n v="426"/>
    <n v="3"/>
    <n v="0.75460829493087556"/>
    <n v="0.99771515613099759"/>
    <n v="0.85929813053460147"/>
  </r>
  <r>
    <x v="0"/>
    <s v="S01/060926_1n"/>
    <s v="all_channel"/>
    <x v="1"/>
    <m/>
    <n v="32"/>
    <s v="F8"/>
    <n v="53"/>
    <n v="51"/>
    <n v="1260"/>
    <n v="0.50961538461538458"/>
    <n v="4.0365575019040298E-2"/>
    <n v="7.4805928016937195E-2"/>
  </r>
  <r>
    <x v="0"/>
    <s v="S01/060926_1n"/>
    <s v="all_channel"/>
    <x v="2"/>
    <s v="mean"/>
    <n v="32"/>
    <s v="FP1"/>
    <n v="1299"/>
    <n v="126"/>
    <n v="14"/>
    <n v="0.91157894736842104"/>
    <n v="0.98933739527798936"/>
    <n v="0.94886778670562444"/>
  </r>
  <r>
    <x v="0"/>
    <s v="S01/060926_1n"/>
    <s v="all_channel"/>
    <x v="3"/>
    <s v="median"/>
    <n v="32"/>
    <s v="FP1"/>
    <n v="1304"/>
    <n v="149"/>
    <n v="9"/>
    <n v="0.89745354439091529"/>
    <n v="0.99314546839299322"/>
    <n v="0.94287780187997094"/>
  </r>
  <r>
    <x v="0"/>
    <s v="S09/060720_1n"/>
    <s v="all_channel"/>
    <x v="0"/>
    <m/>
    <n v="32"/>
    <s v="FP2"/>
    <n v="1432"/>
    <n v="539"/>
    <n v="4"/>
    <n v="0.72653475393201417"/>
    <n v="0.99721448467966578"/>
    <n v="0.84062224831229815"/>
  </r>
  <r>
    <x v="0"/>
    <s v="S09/060720_1n"/>
    <s v="all_channel"/>
    <x v="1"/>
    <m/>
    <n v="32"/>
    <s v="F7"/>
    <n v="1158"/>
    <n v="225"/>
    <n v="278"/>
    <n v="0.83731019522776573"/>
    <n v="0.80640668523676884"/>
    <n v="0.8215679318907414"/>
  </r>
  <r>
    <x v="0"/>
    <s v="S09/060720_1n"/>
    <s v="all_channel"/>
    <x v="2"/>
    <s v="mean"/>
    <n v="32"/>
    <s v="FP2"/>
    <n v="1398"/>
    <n v="175"/>
    <n v="38"/>
    <n v="0.88874761602034325"/>
    <n v="0.97353760445682436"/>
    <n v="0.92921236291126619"/>
  </r>
  <r>
    <x v="0"/>
    <s v="S09/060720_1n"/>
    <s v="all_channel"/>
    <x v="3"/>
    <s v="median"/>
    <n v="32"/>
    <s v="FP2"/>
    <n v="1412"/>
    <n v="231"/>
    <n v="24"/>
    <n v="0.85940353012781501"/>
    <n v="0.98328690807799435"/>
    <n v="0.91718090289054877"/>
  </r>
  <r>
    <x v="0"/>
    <s v="S13/060217m"/>
    <s v="all_channel"/>
    <x v="0"/>
    <m/>
    <n v="32"/>
    <s v="FP1"/>
    <n v="743"/>
    <n v="1048"/>
    <n v="5"/>
    <n v="0.41485203796761588"/>
    <n v="0.99331550802139035"/>
    <n v="0.58526979125640022"/>
  </r>
  <r>
    <x v="0"/>
    <s v="S13/060217m"/>
    <s v="all_channel"/>
    <x v="1"/>
    <m/>
    <n v="32"/>
    <s v="FP1"/>
    <n v="609"/>
    <n v="266"/>
    <n v="139"/>
    <n v="0.69599999999999995"/>
    <n v="0.81417112299465244"/>
    <n v="0.75046210720887241"/>
  </r>
  <r>
    <x v="0"/>
    <s v="S13/060217m"/>
    <s v="all_channel"/>
    <x v="2"/>
    <s v="mean"/>
    <n v="32"/>
    <s v="FP1"/>
    <n v="592"/>
    <n v="264"/>
    <n v="156"/>
    <n v="0.69158878504672894"/>
    <n v="0.79144385026737973"/>
    <n v="0.73815461346633426"/>
  </r>
  <r>
    <x v="0"/>
    <s v="S13/060217m"/>
    <s v="all_channel"/>
    <x v="3"/>
    <s v="median"/>
    <n v="32"/>
    <s v="FP1"/>
    <n v="603"/>
    <n v="270"/>
    <n v="145"/>
    <n v="0.69072164948453607"/>
    <n v="0.80614973262032086"/>
    <n v="0.74398519432449106"/>
  </r>
  <r>
    <x v="0"/>
    <s v="S02/050921m"/>
    <s v="all_channel"/>
    <x v="0"/>
    <m/>
    <n v="32"/>
    <s v="FP1"/>
    <n v="1821"/>
    <n v="285"/>
    <n v="8"/>
    <n v="0.86467236467236464"/>
    <n v="0.99562602515035536"/>
    <n v="0.92554002541296043"/>
  </r>
  <r>
    <x v="0"/>
    <s v="S02/050921m"/>
    <s v="all_channel"/>
    <x v="1"/>
    <m/>
    <n v="32"/>
    <s v="FP1"/>
    <n v="1753"/>
    <n v="160"/>
    <n v="76"/>
    <n v="0.91636173549398836"/>
    <n v="0.95844723892837602"/>
    <n v="0.93693212185996799"/>
  </r>
  <r>
    <x v="0"/>
    <s v="S02/050921m"/>
    <s v="all_channel"/>
    <x v="2"/>
    <s v="mean"/>
    <n v="32"/>
    <s v="FP1"/>
    <n v="1659"/>
    <n v="96"/>
    <n v="170"/>
    <n v="0.94529914529914516"/>
    <n v="0.90705303444505203"/>
    <n v="0.92578125"/>
  </r>
  <r>
    <x v="0"/>
    <s v="S02/050921m"/>
    <s v="all_channel"/>
    <x v="3"/>
    <s v="median"/>
    <n v="32"/>
    <s v="FP1"/>
    <n v="1701"/>
    <n v="127"/>
    <n v="128"/>
    <n v="0.93052516411378561"/>
    <n v="0.93001640240568617"/>
    <n v="0.930270713699754"/>
  </r>
  <r>
    <x v="0"/>
    <s v="S12/060710_1m"/>
    <s v="all_channel"/>
    <x v="0"/>
    <m/>
    <n v="32"/>
    <s v="FP2"/>
    <n v="1074"/>
    <n v="957"/>
    <n v="13"/>
    <n v="0.52880354505169869"/>
    <n v="0.98804047838086484"/>
    <n v="0.68890314304041056"/>
  </r>
  <r>
    <x v="0"/>
    <s v="S12/060710_1m"/>
    <s v="all_channel"/>
    <x v="1"/>
    <m/>
    <n v="32"/>
    <s v="F7"/>
    <n v="797"/>
    <n v="460"/>
    <n v="290"/>
    <n v="0.63404932378679391"/>
    <n v="0.73321067157313713"/>
    <n v="0.68003412969283272"/>
  </r>
  <r>
    <x v="0"/>
    <s v="S12/060710_1m"/>
    <s v="all_channel"/>
    <x v="2"/>
    <s v="mean"/>
    <n v="32"/>
    <s v="FP2"/>
    <n v="953"/>
    <n v="406"/>
    <n v="134"/>
    <n v="0.70125091979396614"/>
    <n v="0.87672493100275994"/>
    <n v="0.77923139820114473"/>
  </r>
  <r>
    <x v="0"/>
    <s v="S12/060710_1m"/>
    <s v="all_channel"/>
    <x v="3"/>
    <s v="median"/>
    <n v="32"/>
    <s v="FP2"/>
    <n v="976"/>
    <n v="445"/>
    <n v="111"/>
    <n v="0.68684025334271637"/>
    <n v="0.89788408463661451"/>
    <n v="0.77830940988835717"/>
  </r>
  <r>
    <x v="0"/>
    <s v="S22/080513m"/>
    <s v="all_channel"/>
    <x v="0"/>
    <m/>
    <n v="32"/>
    <s v="F7"/>
    <n v="463"/>
    <n v="1017"/>
    <n v="21"/>
    <n v="0.31283783783783781"/>
    <n v="0.95661157024793397"/>
    <n v="0.47148676171079429"/>
  </r>
  <r>
    <x v="0"/>
    <s v="S22/080513m"/>
    <s v="all_channel"/>
    <x v="1"/>
    <m/>
    <n v="32"/>
    <s v="F8"/>
    <n v="383"/>
    <n v="809"/>
    <n v="101"/>
    <n v="0.32130872483221479"/>
    <n v="0.79132231404958675"/>
    <n v="0.45704057279236271"/>
  </r>
  <r>
    <x v="0"/>
    <s v="S22/080513m"/>
    <s v="all_channel"/>
    <x v="2"/>
    <s v="mean"/>
    <n v="32"/>
    <s v="FP1"/>
    <n v="474"/>
    <n v="428"/>
    <n v="10"/>
    <n v="0.5254988913525499"/>
    <n v="0.97933884297520657"/>
    <n v="0.68398268398268391"/>
  </r>
  <r>
    <x v="0"/>
    <s v="S22/080513m"/>
    <s v="all_channel"/>
    <x v="3"/>
    <s v="median"/>
    <n v="32"/>
    <s v="FP1"/>
    <n v="475"/>
    <n v="452"/>
    <n v="9"/>
    <n v="0.51240560949298808"/>
    <n v="0.98140495867768596"/>
    <n v="0.6732813607370659"/>
  </r>
  <r>
    <x v="0"/>
    <s v="S12/060710_2m"/>
    <s v="all_channel"/>
    <x v="0"/>
    <m/>
    <n v="32"/>
    <s v="FP1"/>
    <n v="947"/>
    <n v="822"/>
    <n v="10"/>
    <n v="0.53533069530808364"/>
    <n v="0.9895506792058516"/>
    <n v="0.69479090242112984"/>
  </r>
  <r>
    <x v="0"/>
    <s v="S12/060710_2m"/>
    <s v="all_channel"/>
    <x v="1"/>
    <m/>
    <n v="32"/>
    <s v="FP1"/>
    <n v="854"/>
    <n v="165"/>
    <n v="103"/>
    <n v="0.83807654563297351"/>
    <n v="0.89237199582027171"/>
    <n v="0.86437246963562753"/>
  </r>
  <r>
    <x v="0"/>
    <s v="S12/060710_2m"/>
    <s v="all_channel"/>
    <x v="2"/>
    <s v="mean"/>
    <n v="32"/>
    <s v="FP2"/>
    <n v="825"/>
    <n v="299"/>
    <n v="132"/>
    <n v="0.73398576512455516"/>
    <n v="0.86206896551724133"/>
    <n v="0.79288803459875057"/>
  </r>
  <r>
    <x v="0"/>
    <s v="S12/060710_2m"/>
    <s v="all_channel"/>
    <x v="3"/>
    <s v="median"/>
    <n v="32"/>
    <s v="FP2"/>
    <n v="844"/>
    <n v="344"/>
    <n v="113"/>
    <n v="0.71043771043771042"/>
    <n v="0.88192267502612331"/>
    <n v="0.78694638694638697"/>
  </r>
  <r>
    <x v="0"/>
    <s v="S11/060920_1n"/>
    <s v="all_channel"/>
    <x v="0"/>
    <m/>
    <n v="32"/>
    <s v="FP1"/>
    <n v="1640"/>
    <n v="410"/>
    <n v="3"/>
    <n v="0.8"/>
    <n v="0.99817407181984164"/>
    <n v="0.8881668020579474"/>
  </r>
  <r>
    <x v="0"/>
    <s v="S11/060920_1n"/>
    <s v="all_channel"/>
    <x v="1"/>
    <m/>
    <n v="32"/>
    <s v="FP2"/>
    <n v="240"/>
    <n v="300"/>
    <n v="1403"/>
    <n v="0.44444444444444442"/>
    <n v="0.1460742544126597"/>
    <n v="0.21988089784699949"/>
  </r>
  <r>
    <x v="0"/>
    <s v="S11/060920_1n"/>
    <s v="all_channel"/>
    <x v="2"/>
    <s v="mean"/>
    <n v="32"/>
    <s v="F8"/>
    <n v="1553"/>
    <n v="184"/>
    <n v="90"/>
    <n v="0.89407023603914793"/>
    <n v="0.94522215459525261"/>
    <n v="0.91893491124260362"/>
  </r>
  <r>
    <x v="0"/>
    <s v="S11/060920_1n"/>
    <s v="all_channel"/>
    <x v="3"/>
    <s v="median"/>
    <n v="32"/>
    <s v="F8"/>
    <n v="1569"/>
    <n v="238"/>
    <n v="74"/>
    <n v="0.86828998339789709"/>
    <n v="0.95496043822276322"/>
    <n v="0.90956521739130436"/>
  </r>
  <r>
    <x v="0"/>
    <s v="S05/060308n"/>
    <s v="all_channel"/>
    <x v="0"/>
    <m/>
    <n v="32"/>
    <s v="FP1"/>
    <n v="2760"/>
    <n v="675"/>
    <n v="48"/>
    <n v="0.80349344978165937"/>
    <n v="0.98290598290598274"/>
    <n v="0.88419029312830366"/>
  </r>
  <r>
    <x v="0"/>
    <s v="S05/060308n"/>
    <s v="all_channel"/>
    <x v="1"/>
    <m/>
    <n v="32"/>
    <s v="FZ"/>
    <n v="1867"/>
    <n v="1043"/>
    <n v="941"/>
    <n v="0.64158075601374576"/>
    <n v="0.66488603988603989"/>
    <n v="0.65302553340328795"/>
  </r>
  <r>
    <x v="0"/>
    <s v="S05/060308n"/>
    <s v="all_channel"/>
    <x v="2"/>
    <s v="mean"/>
    <n v="32"/>
    <s v="FP1"/>
    <n v="1588"/>
    <n v="227"/>
    <n v="1220"/>
    <n v="0.87493112947658402"/>
    <n v="0.56552706552706555"/>
    <n v="0.68699978369024439"/>
  </r>
  <r>
    <x v="0"/>
    <s v="S05/060308n"/>
    <s v="all_channel"/>
    <x v="3"/>
    <s v="median"/>
    <n v="32"/>
    <s v="FP1"/>
    <n v="1919"/>
    <n v="279"/>
    <n v="889"/>
    <n v="0.87306642402183798"/>
    <n v="0.68340455840455838"/>
    <n v="0.76667998401917703"/>
  </r>
  <r>
    <x v="0"/>
    <s v="S02/051115m"/>
    <s v="all_channel"/>
    <x v="0"/>
    <m/>
    <n v="32"/>
    <s v="FP1"/>
    <n v="2885"/>
    <n v="431"/>
    <n v="18"/>
    <n v="0.87002412545235219"/>
    <n v="0.99379951774026865"/>
    <n v="0.92780189741115915"/>
  </r>
  <r>
    <x v="0"/>
    <s v="S02/051115m"/>
    <s v="all_channel"/>
    <x v="1"/>
    <m/>
    <n v="32"/>
    <s v="FP2"/>
    <n v="2499"/>
    <n v="226"/>
    <n v="404"/>
    <n v="0.91706422018348621"/>
    <n v="0.86083362039269717"/>
    <n v="0.88805970149253732"/>
  </r>
  <r>
    <x v="0"/>
    <s v="S02/051115m"/>
    <s v="all_channel"/>
    <x v="2"/>
    <s v="mean"/>
    <n v="32"/>
    <s v="FP2"/>
    <n v="1624"/>
    <n v="42"/>
    <n v="1279"/>
    <n v="0.97478991596638642"/>
    <n v="0.5594212883224251"/>
    <n v="0.7108776537535566"/>
  </r>
  <r>
    <x v="0"/>
    <s v="S02/051115m"/>
    <s v="all_channel"/>
    <x v="3"/>
    <s v="median"/>
    <n v="32"/>
    <s v="FP2"/>
    <n v="2109"/>
    <n v="74"/>
    <n v="794"/>
    <n v="0.96610169491525422"/>
    <n v="0.72648983809851875"/>
    <n v="0.82933543059378678"/>
  </r>
  <r>
    <x v="0"/>
    <s v="S22/090825n"/>
    <s v="all_channel"/>
    <x v="0"/>
    <m/>
    <n v="32"/>
    <s v="F3"/>
    <n v="348"/>
    <n v="1506"/>
    <n v="34"/>
    <n v="0.18770226537216819"/>
    <n v="0.91099476439790561"/>
    <n v="0.31127012522361358"/>
  </r>
  <r>
    <x v="0"/>
    <s v="S22/090825n"/>
    <s v="all_channel"/>
    <x v="1"/>
    <m/>
    <n v="32"/>
    <s v="F8"/>
    <n v="315"/>
    <n v="698"/>
    <n v="67"/>
    <n v="0.31095755182625862"/>
    <n v="0.82460732984293195"/>
    <n v="0.45161290322580638"/>
  </r>
  <r>
    <x v="0"/>
    <s v="S22/090825n"/>
    <s v="all_channel"/>
    <x v="2"/>
    <s v="mean"/>
    <n v="32"/>
    <s v="FP1"/>
    <n v="372"/>
    <n v="469"/>
    <n v="10"/>
    <n v="0.44233055885850181"/>
    <n v="0.97382198952879584"/>
    <n v="0.60834014717906792"/>
  </r>
  <r>
    <x v="0"/>
    <s v="S22/090825n"/>
    <s v="all_channel"/>
    <x v="3"/>
    <s v="median"/>
    <n v="32"/>
    <s v="FP1"/>
    <n v="372"/>
    <n v="479"/>
    <n v="10"/>
    <n v="0.43713278495887192"/>
    <n v="0.97382198952879584"/>
    <n v="0.60340632603406319"/>
  </r>
  <r>
    <x v="0"/>
    <s v="S13/060213m"/>
    <s v="all_channel"/>
    <x v="0"/>
    <m/>
    <n v="32"/>
    <s v="FP2"/>
    <n v="1867"/>
    <n v="442"/>
    <n v="32"/>
    <n v="0.80857514075357295"/>
    <n v="0.98314902580305419"/>
    <n v="0.88735741444866922"/>
  </r>
  <r>
    <x v="0"/>
    <s v="S13/060213m"/>
    <s v="all_channel"/>
    <x v="1"/>
    <m/>
    <n v="32"/>
    <s v="FP1"/>
    <n v="1560"/>
    <n v="32"/>
    <n v="339"/>
    <n v="0.97989949748743721"/>
    <n v="0.82148499210110582"/>
    <n v="0.8937267258665138"/>
  </r>
  <r>
    <x v="0"/>
    <s v="S13/060213m"/>
    <s v="all_channel"/>
    <x v="2"/>
    <s v="mean"/>
    <n v="32"/>
    <s v="FP1"/>
    <n v="1668"/>
    <n v="59"/>
    <n v="231"/>
    <n v="0.96583671105964097"/>
    <n v="0.87835703001579779"/>
    <n v="0.92002206287920563"/>
  </r>
  <r>
    <x v="0"/>
    <s v="S13/060213m"/>
    <s v="all_channel"/>
    <x v="3"/>
    <s v="median"/>
    <n v="32"/>
    <s v="FP1"/>
    <n v="1696"/>
    <n v="66"/>
    <n v="203"/>
    <n v="0.96254256526674242"/>
    <n v="0.89310163243812535"/>
    <n v="0.92652280797596276"/>
  </r>
  <r>
    <x v="0"/>
    <s v="S06/051119m"/>
    <s v="all_channel"/>
    <x v="0"/>
    <m/>
    <n v="32"/>
    <s v="FP1"/>
    <n v="2158"/>
    <n v="391"/>
    <n v="4"/>
    <n v="0.84660651235778739"/>
    <n v="0.99814986123959282"/>
    <n v="0.91615368286987897"/>
  </r>
  <r>
    <x v="0"/>
    <s v="S06/051119m"/>
    <s v="all_channel"/>
    <x v="1"/>
    <m/>
    <n v="32"/>
    <s v="FP2"/>
    <n v="2123"/>
    <n v="197"/>
    <n v="39"/>
    <n v="0.91508620689655162"/>
    <n v="0.98196114708603144"/>
    <n v="0.94734493529674257"/>
  </r>
  <r>
    <x v="0"/>
    <s v="S06/051119m"/>
    <s v="all_channel"/>
    <x v="2"/>
    <s v="mean"/>
    <n v="32"/>
    <s v="FP2"/>
    <n v="2100"/>
    <n v="173"/>
    <n v="62"/>
    <n v="0.92388913330400357"/>
    <n v="0.97132284921369105"/>
    <n v="0.94701240135287501"/>
  </r>
  <r>
    <x v="0"/>
    <s v="S06/051119m"/>
    <s v="all_channel"/>
    <x v="3"/>
    <s v="median"/>
    <n v="32"/>
    <s v="FP2"/>
    <n v="2121"/>
    <n v="195"/>
    <n v="41"/>
    <n v="0.91580310880829019"/>
    <n v="0.98103607770582801"/>
    <n v="0.94729790084859322"/>
  </r>
  <r>
    <x v="0"/>
    <s v="S01/061102n"/>
    <s v="all_channel"/>
    <x v="0"/>
    <m/>
    <n v="32"/>
    <s v="FP1"/>
    <n v="2468"/>
    <n v="762"/>
    <n v="5"/>
    <n v="0.76408668730650153"/>
    <n v="0.99797816417306917"/>
    <n v="0.86550938102752939"/>
  </r>
  <r>
    <x v="0"/>
    <s v="S01/061102n"/>
    <s v="all_channel"/>
    <x v="1"/>
    <m/>
    <n v="32"/>
    <s v="T4"/>
    <n v="25"/>
    <n v="240"/>
    <n v="2448"/>
    <n v="9.4339622641509399E-2"/>
    <n v="1.01091791346542E-2"/>
    <n v="1.8261504747991202E-2"/>
  </r>
  <r>
    <x v="0"/>
    <s v="S01/061102n"/>
    <s v="all_channel"/>
    <x v="2"/>
    <s v="mean"/>
    <n v="32"/>
    <s v="FP1"/>
    <n v="2397"/>
    <n v="317"/>
    <n v="76"/>
    <n v="0.8831982313927782"/>
    <n v="0.96926809543065118"/>
    <n v="0.92423366107576643"/>
  </r>
  <r>
    <x v="0"/>
    <s v="S01/061102n"/>
    <s v="all_channel"/>
    <x v="3"/>
    <s v="median"/>
    <n v="32"/>
    <s v="FP1"/>
    <n v="2423"/>
    <n v="365"/>
    <n v="50"/>
    <n v="0.8690817790530847"/>
    <n v="0.9797816417306916"/>
    <n v="0.92111765823987835"/>
  </r>
  <r>
    <x v="0"/>
    <s v="S14/060319m"/>
    <s v="all_channel"/>
    <x v="0"/>
    <m/>
    <n v="32"/>
    <s v="FP1"/>
    <n v="2167"/>
    <n v="28"/>
    <n v="0"/>
    <n v="0.98724373576309798"/>
    <n v="1"/>
    <n v="0.99358092618065119"/>
  </r>
  <r>
    <x v="0"/>
    <s v="S14/060319m"/>
    <s v="all_channel"/>
    <x v="1"/>
    <m/>
    <n v="32"/>
    <s v="FP2"/>
    <n v="2165"/>
    <n v="64"/>
    <n v="2"/>
    <n v="0.97128757290264678"/>
    <n v="0.99907706506691285"/>
    <n v="0.9849863512283894"/>
  </r>
  <r>
    <x v="0"/>
    <s v="S14/060319m"/>
    <s v="all_channel"/>
    <x v="2"/>
    <s v="mean"/>
    <n v="32"/>
    <s v="FP1"/>
    <n v="2132"/>
    <n v="24"/>
    <n v="35"/>
    <n v="0.98886827458256044"/>
    <n v="0.98384863867097361"/>
    <n v="0.98635207032153605"/>
  </r>
  <r>
    <x v="0"/>
    <s v="S14/060319m"/>
    <s v="all_channel"/>
    <x v="3"/>
    <s v="median"/>
    <n v="32"/>
    <s v="FP1"/>
    <n v="2151"/>
    <n v="29"/>
    <n v="16"/>
    <n v="0.98669724770642198"/>
    <n v="0.99261652053530225"/>
    <n v="0.98964803312629401"/>
  </r>
  <r>
    <x v="0"/>
    <s v="S22/091006m"/>
    <s v="all_channel"/>
    <x v="0"/>
    <m/>
    <n v="32"/>
    <s v="FP2"/>
    <n v="935"/>
    <n v="1482"/>
    <n v="7"/>
    <n v="0.38684319404220108"/>
    <n v="0.99256900212314236"/>
    <n v="0.55671330753200354"/>
  </r>
  <r>
    <x v="0"/>
    <s v="S22/091006m"/>
    <s v="all_channel"/>
    <x v="1"/>
    <m/>
    <n v="32"/>
    <s v="FP2"/>
    <n v="832"/>
    <n v="419"/>
    <n v="110"/>
    <n v="0.66506794564348526"/>
    <n v="0.88322717622080682"/>
    <n v="0.75877792977656178"/>
  </r>
  <r>
    <x v="0"/>
    <s v="S22/091006m"/>
    <s v="all_channel"/>
    <x v="2"/>
    <s v="mean"/>
    <n v="32"/>
    <s v="FP1"/>
    <n v="896"/>
    <n v="463"/>
    <n v="46"/>
    <n v="0.65930831493745401"/>
    <n v="0.95116772823779205"/>
    <n v="0.77879182963928739"/>
  </r>
  <r>
    <x v="0"/>
    <s v="S22/091006m"/>
    <s v="all_channel"/>
    <x v="3"/>
    <s v="median"/>
    <n v="32"/>
    <s v="FP1"/>
    <n v="908"/>
    <n v="520"/>
    <n v="34"/>
    <n v="0.63585434173669464"/>
    <n v="0.96390658174097676"/>
    <n v="0.76624472573839653"/>
  </r>
  <r>
    <x v="0"/>
    <s v="S14/060319n"/>
    <s v="all_channel"/>
    <x v="0"/>
    <m/>
    <n v="32"/>
    <s v="FP1"/>
    <n v="2432"/>
    <n v="31"/>
    <n v="1"/>
    <n v="0.98741372310190823"/>
    <n v="0.99958898479243719"/>
    <n v="0.99346405228758161"/>
  </r>
  <r>
    <x v="0"/>
    <s v="S14/060319n"/>
    <s v="all_channel"/>
    <x v="1"/>
    <m/>
    <n v="32"/>
    <s v="FP2"/>
    <n v="2429"/>
    <n v="31"/>
    <n v="4"/>
    <n v="0.98739837398373997"/>
    <n v="0.99835593916974918"/>
    <n v="0.99284692417739639"/>
  </r>
  <r>
    <x v="0"/>
    <s v="S14/060319n"/>
    <s v="all_channel"/>
    <x v="2"/>
    <s v="mean"/>
    <n v="32"/>
    <s v="FP1"/>
    <n v="2403"/>
    <n v="21"/>
    <n v="30"/>
    <n v="0.99133663366336644"/>
    <n v="0.98766954377311955"/>
    <n v="0.98949969116738723"/>
  </r>
  <r>
    <x v="0"/>
    <s v="S14/060319n"/>
    <s v="all_channel"/>
    <x v="3"/>
    <s v="median"/>
    <n v="32"/>
    <s v="FP1"/>
    <n v="2423"/>
    <n v="26"/>
    <n v="10"/>
    <n v="0.98938342180481842"/>
    <n v="0.99588984792437318"/>
    <n v="0.9926259729619008"/>
  </r>
  <r>
    <x v="0"/>
    <s v="S35/070115m"/>
    <s v="all_channel"/>
    <x v="0"/>
    <m/>
    <n v="32"/>
    <s v="FP1"/>
    <n v="661"/>
    <n v="1655"/>
    <n v="0"/>
    <n v="0.28540587219343688"/>
    <n v="1"/>
    <n v="0.44407121263016458"/>
  </r>
  <r>
    <x v="0"/>
    <s v="S35/070115m"/>
    <s v="all_channel"/>
    <x v="1"/>
    <m/>
    <n v="32"/>
    <s v="FP1"/>
    <n v="268"/>
    <n v="60"/>
    <n v="393"/>
    <n v="0.81707317073170727"/>
    <n v="0.40544629349470501"/>
    <n v="0.54196157735085948"/>
  </r>
  <r>
    <x v="0"/>
    <s v="S35/070115m"/>
    <s v="all_channel"/>
    <x v="2"/>
    <s v="mean"/>
    <n v="32"/>
    <s v="F4"/>
    <n v="535"/>
    <n v="462"/>
    <n v="126"/>
    <n v="0.53660982948846536"/>
    <n v="0.80937972768532529"/>
    <n v="0.64535585042219545"/>
  </r>
  <r>
    <x v="0"/>
    <s v="S35/070115m"/>
    <s v="all_channel"/>
    <x v="3"/>
    <s v="median"/>
    <n v="32"/>
    <s v="F8"/>
    <n v="509"/>
    <n v="410"/>
    <n v="152"/>
    <n v="0.55386289445048964"/>
    <n v="0.77004538577912252"/>
    <n v="0.64430379746835431"/>
  </r>
  <r>
    <x v="0"/>
    <s v="S23/060711_1m"/>
    <s v="all_channel"/>
    <x v="0"/>
    <m/>
    <n v="32"/>
    <s v="FP1"/>
    <n v="1732"/>
    <n v="491"/>
    <n v="5"/>
    <n v="0.77912730544309494"/>
    <n v="0.99712147380541161"/>
    <n v="0.87474747474747483"/>
  </r>
  <r>
    <x v="0"/>
    <s v="S23/060711_1m"/>
    <s v="all_channel"/>
    <x v="1"/>
    <m/>
    <n v="32"/>
    <s v="FZ"/>
    <n v="1683"/>
    <n v="588"/>
    <n v="54"/>
    <n v="0.7410832232496698"/>
    <n v="0.9689119170984456"/>
    <n v="0.83982035928143717"/>
  </r>
  <r>
    <x v="0"/>
    <s v="S23/060711_1m"/>
    <s v="all_channel"/>
    <x v="2"/>
    <s v="mean"/>
    <n v="32"/>
    <s v="FP1"/>
    <n v="1702"/>
    <n v="285"/>
    <n v="35"/>
    <n v="0.85656768998490185"/>
    <n v="0.97985031663788136"/>
    <n v="0.91407089151450038"/>
  </r>
  <r>
    <x v="0"/>
    <s v="S23/060711_1m"/>
    <s v="all_channel"/>
    <x v="3"/>
    <s v="median"/>
    <n v="32"/>
    <s v="FP2"/>
    <n v="1695"/>
    <n v="302"/>
    <n v="42"/>
    <n v="0.84877315973960943"/>
    <n v="0.97582037996545756"/>
    <n v="0.90787359400107115"/>
  </r>
  <r>
    <x v="0"/>
    <s v="S41/080520m"/>
    <s v="all_channel"/>
    <x v="0"/>
    <m/>
    <n v="32"/>
    <s v="F4"/>
    <n v="513"/>
    <n v="940"/>
    <n v="36"/>
    <n v="0.3530626290433585"/>
    <n v="0.93442622950819676"/>
    <n v="0.51248751248751245"/>
  </r>
  <r>
    <x v="0"/>
    <s v="S41/080520m"/>
    <s v="all_channel"/>
    <x v="1"/>
    <m/>
    <n v="32"/>
    <s v="FP1"/>
    <n v="541"/>
    <n v="639"/>
    <n v="8"/>
    <n v="0.45847457627118637"/>
    <n v="0.98542805100182163"/>
    <n v="0.62579525737420472"/>
  </r>
  <r>
    <x v="0"/>
    <s v="S41/080520m"/>
    <s v="all_channel"/>
    <x v="2"/>
    <s v="mean"/>
    <n v="32"/>
    <s v="FP2"/>
    <n v="461"/>
    <n v="121"/>
    <n v="88"/>
    <n v="0.79209621993127144"/>
    <n v="0.83970856102003644"/>
    <n v="0.81520778072502209"/>
  </r>
  <r>
    <x v="0"/>
    <s v="S41/080520m"/>
    <s v="all_channel"/>
    <x v="3"/>
    <s v="median"/>
    <n v="32"/>
    <s v="FP2"/>
    <n v="475"/>
    <n v="148"/>
    <n v="74"/>
    <n v="0.7624398073836276"/>
    <n v="0.86520947176684881"/>
    <n v="0.81058020477815695"/>
  </r>
  <r>
    <x v="0"/>
    <s v="S05/061019m"/>
    <s v="all_channel"/>
    <x v="0"/>
    <m/>
    <n v="32"/>
    <s v="FP1"/>
    <n v="3176"/>
    <n v="1312"/>
    <n v="10"/>
    <n v="0.70766488413547235"/>
    <n v="0.9968612680477088"/>
    <n v="0.82772999739379716"/>
  </r>
  <r>
    <x v="0"/>
    <s v="S05/061019m"/>
    <s v="all_channel"/>
    <x v="1"/>
    <m/>
    <n v="32"/>
    <s v="FP1"/>
    <n v="2896"/>
    <n v="724"/>
    <n v="290"/>
    <n v="0.8"/>
    <n v="0.9089767733835532"/>
    <n v="0.85101381134293275"/>
  </r>
  <r>
    <x v="0"/>
    <s v="S05/061019m"/>
    <s v="all_channel"/>
    <x v="2"/>
    <s v="mean"/>
    <n v="32"/>
    <s v="FP1"/>
    <n v="2439"/>
    <n v="495"/>
    <n v="747"/>
    <n v="0.83128834355828218"/>
    <n v="0.7655367231638418"/>
    <n v="0.79705882352941171"/>
  </r>
  <r>
    <x v="0"/>
    <s v="S05/061019m"/>
    <s v="all_channel"/>
    <x v="3"/>
    <s v="median"/>
    <n v="32"/>
    <s v="FP1"/>
    <n v="2640"/>
    <n v="566"/>
    <n v="546"/>
    <n v="0.82345601996257023"/>
    <n v="0.82862523540489641"/>
    <n v="0.82603254067584475"/>
  </r>
  <r>
    <x v="0"/>
    <s v="S41/080530n"/>
    <s v="all_channel"/>
    <x v="0"/>
    <m/>
    <n v="32"/>
    <s v="F4"/>
    <n v="507"/>
    <n v="949"/>
    <n v="76"/>
    <n v="0.3482142857142857"/>
    <n v="0.869639794168096"/>
    <n v="0.49730259931338888"/>
  </r>
  <r>
    <x v="0"/>
    <s v="S41/080530n"/>
    <s v="all_channel"/>
    <x v="1"/>
    <m/>
    <n v="32"/>
    <s v="FP1"/>
    <n v="549"/>
    <n v="518"/>
    <n v="34"/>
    <n v="0.51452671040299902"/>
    <n v="0.94168096054888517"/>
    <n v="0.66545454545454541"/>
  </r>
  <r>
    <x v="0"/>
    <s v="S41/080530n"/>
    <s v="all_channel"/>
    <x v="2"/>
    <s v="mean"/>
    <n v="32"/>
    <s v="FP2"/>
    <n v="447"/>
    <n v="95"/>
    <n v="136"/>
    <n v="0.82472324723247237"/>
    <n v="0.76672384219554035"/>
    <n v="0.79466666666666674"/>
  </r>
  <r>
    <x v="0"/>
    <s v="S41/080530n"/>
    <s v="all_channel"/>
    <x v="3"/>
    <s v="median"/>
    <n v="32"/>
    <s v="FP2"/>
    <n v="486"/>
    <n v="170"/>
    <n v="97"/>
    <n v="0.74085365853658536"/>
    <n v="0.83361921097770153"/>
    <n v="0.78450363196125905"/>
  </r>
  <r>
    <x v="0"/>
    <s v="S31/061020m"/>
    <s v="all_channel"/>
    <x v="0"/>
    <m/>
    <n v="32"/>
    <s v="FP1"/>
    <n v="1447"/>
    <n v="2306"/>
    <n v="29"/>
    <n v="0.38555822009059421"/>
    <n v="0.98035230352303515"/>
    <n v="0.55345190284949319"/>
  </r>
  <r>
    <x v="0"/>
    <s v="S31/061020m"/>
    <s v="all_channel"/>
    <x v="1"/>
    <m/>
    <n v="32"/>
    <s v="F8"/>
    <n v="24"/>
    <n v="64"/>
    <n v="1452"/>
    <n v="0.27272727272727271"/>
    <n v="1.6260162601626001E-2"/>
    <n v="3.0690537084398901E-2"/>
  </r>
  <r>
    <x v="0"/>
    <s v="S31/061020m"/>
    <s v="all_channel"/>
    <x v="2"/>
    <s v="mean"/>
    <n v="32"/>
    <s v="FP1"/>
    <n v="519"/>
    <n v="127"/>
    <n v="957"/>
    <n v="0.80340557275541791"/>
    <n v="0.3516260162601626"/>
    <n v="0.4891611687087653"/>
  </r>
  <r>
    <x v="0"/>
    <s v="S31/061020m"/>
    <s v="all_channel"/>
    <x v="3"/>
    <s v="median"/>
    <n v="32"/>
    <s v="FP1"/>
    <n v="579"/>
    <n v="142"/>
    <n v="897"/>
    <n v="0.80305131761442439"/>
    <n v="0.39227642276422758"/>
    <n v="0.52708238507055072"/>
  </r>
  <r>
    <x v="0"/>
    <s v="S31/061103n"/>
    <s v="all_channel"/>
    <x v="0"/>
    <m/>
    <n v="32"/>
    <s v="FP2"/>
    <n v="1947"/>
    <n v="1763"/>
    <n v="25"/>
    <n v="0.5247978436657682"/>
    <n v="0.98732251521298176"/>
    <n v="0.68532206969376974"/>
  </r>
  <r>
    <x v="0"/>
    <s v="S31/061103n"/>
    <s v="all_channel"/>
    <x v="1"/>
    <m/>
    <n v="32"/>
    <s v="FZ"/>
    <n v="419"/>
    <n v="176"/>
    <n v="1553"/>
    <n v="0.70420168067226896"/>
    <n v="0.2124746450304259"/>
    <n v="0.32645111024542273"/>
  </r>
  <r>
    <x v="0"/>
    <s v="S31/061103n"/>
    <s v="all_channel"/>
    <x v="2"/>
    <s v="mean"/>
    <n v="32"/>
    <s v="FP2"/>
    <n v="903"/>
    <n v="114"/>
    <n v="1069"/>
    <n v="0.88790560471976399"/>
    <n v="0.4579107505070994"/>
    <n v="0.60421545667447307"/>
  </r>
  <r>
    <x v="0"/>
    <s v="S31/061103n"/>
    <s v="all_channel"/>
    <x v="3"/>
    <s v="median"/>
    <n v="32"/>
    <s v="FP2"/>
    <n v="1005"/>
    <n v="144"/>
    <n v="967"/>
    <n v="0.87467362924281988"/>
    <n v="0.50963488843813387"/>
    <n v="0.64402435116949697"/>
  </r>
  <r>
    <x v="0"/>
    <s v="S40/070131m"/>
    <s v="all_channel"/>
    <x v="0"/>
    <m/>
    <n v="32"/>
    <s v="FP1"/>
    <n v="1671"/>
    <n v="1868"/>
    <n v="9"/>
    <n v="0.47216727889234239"/>
    <n v="0.99464285714285716"/>
    <n v="0.6403525579612952"/>
  </r>
  <r>
    <x v="0"/>
    <s v="S40/070131m"/>
    <s v="all_channel"/>
    <x v="1"/>
    <m/>
    <n v="32"/>
    <s v="FP2"/>
    <n v="4"/>
    <n v="12"/>
    <n v="1676"/>
    <n v="0.25"/>
    <n v="2.3809523809523001E-3"/>
    <n v="4.7169811320754004E-3"/>
  </r>
  <r>
    <x v="0"/>
    <s v="S40/070131m"/>
    <s v="all_channel"/>
    <x v="2"/>
    <s v="mean"/>
    <n v="32"/>
    <s v="FP1"/>
    <n v="1536"/>
    <n v="1046"/>
    <n v="144"/>
    <n v="0.59488768396591785"/>
    <n v="0.91428571428571437"/>
    <n v="0.720788362271234"/>
  </r>
  <r>
    <x v="0"/>
    <s v="S40/070131m"/>
    <s v="all_channel"/>
    <x v="3"/>
    <s v="median"/>
    <n v="32"/>
    <s v="FP1"/>
    <n v="1546"/>
    <n v="1105"/>
    <n v="134"/>
    <n v="0.58317615993964544"/>
    <n v="0.92023809523809519"/>
    <n v="0.71392288155160477"/>
  </r>
  <r>
    <x v="0"/>
    <s v="S41/090813m"/>
    <s v="all_channel"/>
    <x v="0"/>
    <m/>
    <n v="32"/>
    <s v="FP1"/>
    <n v="742"/>
    <n v="1841"/>
    <n v="1"/>
    <n v="0.2872628726287263"/>
    <n v="0.99865410497981155"/>
    <n v="0.4461815995189416"/>
  </r>
  <r>
    <x v="0"/>
    <s v="S41/090813m"/>
    <s v="all_channel"/>
    <x v="1"/>
    <m/>
    <n v="32"/>
    <s v="F7"/>
    <n v="716"/>
    <n v="1841"/>
    <n v="27"/>
    <n v="0.28001564333202972"/>
    <n v="0.96366083445491235"/>
    <n v="0.43393939393939379"/>
  </r>
  <r>
    <x v="0"/>
    <s v="S41/090813m"/>
    <s v="all_channel"/>
    <x v="2"/>
    <s v="mean"/>
    <n v="32"/>
    <s v="FP2"/>
    <n v="599"/>
    <n v="240"/>
    <n v="144"/>
    <n v="0.71394517282479142"/>
    <n v="0.80619111709286673"/>
    <n v="0.75726927939317312"/>
  </r>
  <r>
    <x v="0"/>
    <s v="S41/090813m"/>
    <s v="all_channel"/>
    <x v="3"/>
    <s v="median"/>
    <n v="32"/>
    <s v="FP2"/>
    <n v="623"/>
    <n v="273"/>
    <n v="120"/>
    <n v="0.6953125"/>
    <n v="0.83849259757738892"/>
    <n v="0.76021964612568638"/>
  </r>
  <r>
    <x v="0"/>
    <s v="S35/070322n"/>
    <s v="all_channel"/>
    <x v="0"/>
    <m/>
    <n v="32"/>
    <s v="FP2"/>
    <n v="1476"/>
    <n v="906"/>
    <n v="5"/>
    <n v="0.61964735516372793"/>
    <n v="0.99662390276839963"/>
    <n v="0.76417292259901637"/>
  </r>
  <r>
    <x v="0"/>
    <s v="S35/070322n"/>
    <s v="all_channel"/>
    <x v="1"/>
    <m/>
    <n v="32"/>
    <s v="FZ"/>
    <n v="1439"/>
    <n v="1301"/>
    <n v="42"/>
    <n v="0.5251824817518248"/>
    <n v="0.97164078325455761"/>
    <n v="0.68182895048566694"/>
  </r>
  <r>
    <x v="0"/>
    <s v="S35/070322n"/>
    <s v="all_channel"/>
    <x v="2"/>
    <s v="mean"/>
    <n v="32"/>
    <s v="FP2"/>
    <n v="1460"/>
    <n v="534"/>
    <n v="21"/>
    <n v="0.7321965897693079"/>
    <n v="0.98582039162727875"/>
    <n v="0.84028776978417263"/>
  </r>
  <r>
    <x v="0"/>
    <s v="S35/070322n"/>
    <s v="all_channel"/>
    <x v="3"/>
    <s v="median"/>
    <n v="32"/>
    <s v="FP2"/>
    <n v="1463"/>
    <n v="563"/>
    <n v="18"/>
    <n v="0.72211253701875622"/>
    <n v="0.98784604996623904"/>
    <n v="0.83433133732534936"/>
  </r>
  <r>
    <x v="0"/>
    <s v="S49/080522n"/>
    <s v="all_channel"/>
    <x v="0"/>
    <m/>
    <n v="32"/>
    <s v="T4"/>
    <n v="347"/>
    <n v="255"/>
    <n v="95"/>
    <n v="0.57641196013289031"/>
    <n v="0.78506787330316741"/>
    <n v="0.66475095785440619"/>
  </r>
  <r>
    <x v="0"/>
    <s v="S49/080522n"/>
    <s v="all_channel"/>
    <x v="1"/>
    <m/>
    <n v="32"/>
    <s v="FP1"/>
    <n v="418"/>
    <n v="7"/>
    <n v="24"/>
    <n v="0.98352941176470599"/>
    <n v="0.94570135746606321"/>
    <n v="0.9642445213379468"/>
  </r>
  <r>
    <x v="0"/>
    <s v="S49/080522n"/>
    <s v="all_channel"/>
    <x v="2"/>
    <s v="mean"/>
    <n v="32"/>
    <s v="FZ"/>
    <n v="429"/>
    <n v="16"/>
    <n v="13"/>
    <n v="0.96404494382022476"/>
    <n v="0.97058823529411764"/>
    <n v="0.96730552423900795"/>
  </r>
  <r>
    <x v="0"/>
    <s v="S49/080522n"/>
    <s v="all_channel"/>
    <x v="3"/>
    <s v="median"/>
    <n v="32"/>
    <s v="FZ"/>
    <n v="431"/>
    <n v="23"/>
    <n v="11"/>
    <n v="0.9493392070484582"/>
    <n v="0.97511312217194557"/>
    <n v="0.9620535714285714"/>
  </r>
  <r>
    <x v="0"/>
    <s v="S48/080501n"/>
    <s v="all_channel"/>
    <x v="0"/>
    <m/>
    <n v="32"/>
    <s v="F3"/>
    <n v="440"/>
    <n v="604"/>
    <n v="51"/>
    <n v="0.42145593869731801"/>
    <n v="0.89613034623217924"/>
    <n v="0.57328990228013021"/>
  </r>
  <r>
    <x v="0"/>
    <s v="S48/080501n"/>
    <s v="all_channel"/>
    <x v="1"/>
    <m/>
    <n v="32"/>
    <s v="FT7"/>
    <n v="384"/>
    <n v="405"/>
    <n v="107"/>
    <n v="0.48669201520912547"/>
    <n v="0.7820773930753564"/>
    <n v="0.60000000000000009"/>
  </r>
  <r>
    <x v="0"/>
    <s v="S48/080501n"/>
    <s v="all_channel"/>
    <x v="2"/>
    <s v="mean"/>
    <n v="32"/>
    <s v="FP1"/>
    <n v="475"/>
    <n v="168"/>
    <n v="16"/>
    <n v="0.73872472783825816"/>
    <n v="0.96741344195519363"/>
    <n v="0.83774250440917108"/>
  </r>
  <r>
    <x v="0"/>
    <s v="S48/080501n"/>
    <s v="all_channel"/>
    <x v="3"/>
    <s v="median"/>
    <n v="32"/>
    <s v="FP1"/>
    <n v="479"/>
    <n v="182"/>
    <n v="12"/>
    <n v="0.72465960665658091"/>
    <n v="0.97556008146639517"/>
    <n v="0.83159722222222221"/>
  </r>
  <r>
    <x v="0"/>
    <s v="S41/061225n"/>
    <s v="all_channel"/>
    <x v="0"/>
    <m/>
    <n v="32"/>
    <s v="FP1"/>
    <n v="2658"/>
    <n v="792"/>
    <n v="14"/>
    <n v="0.77043478260869569"/>
    <n v="0.994760479041916"/>
    <n v="0.86834367853642602"/>
  </r>
  <r>
    <x v="0"/>
    <s v="S41/061225n"/>
    <s v="all_channel"/>
    <x v="1"/>
    <m/>
    <n v="32"/>
    <s v="F7"/>
    <n v="190"/>
    <n v="383"/>
    <n v="2482"/>
    <n v="0.331588132635253"/>
    <n v="7.1107784431137702E-2"/>
    <n v="0.1171032357473035"/>
  </r>
  <r>
    <x v="0"/>
    <s v="S41/061225n"/>
    <s v="all_channel"/>
    <x v="2"/>
    <s v="mean"/>
    <n v="32"/>
    <s v="FP1"/>
    <n v="2244"/>
    <n v="186"/>
    <n v="428"/>
    <n v="0.92345679012345683"/>
    <n v="0.83982035928143717"/>
    <n v="0.87965503724029803"/>
  </r>
  <r>
    <x v="0"/>
    <s v="S41/061225n"/>
    <s v="all_channel"/>
    <x v="3"/>
    <s v="median"/>
    <n v="32"/>
    <s v="FP1"/>
    <n v="2372"/>
    <n v="264"/>
    <n v="300"/>
    <n v="0.89984825493171472"/>
    <n v="0.88772455089820357"/>
    <n v="0.89374529012810844"/>
  </r>
  <r>
    <x v="0"/>
    <s v="S41/091104n"/>
    <s v="all_channel"/>
    <x v="0"/>
    <m/>
    <n v="32"/>
    <s v="FP1"/>
    <n v="1783"/>
    <n v="814"/>
    <n v="3"/>
    <n v="0.68656141701963802"/>
    <n v="0.99832026875699875"/>
    <n v="0.81359799224275609"/>
  </r>
  <r>
    <x v="0"/>
    <s v="S41/091104n"/>
    <s v="all_channel"/>
    <x v="1"/>
    <m/>
    <n v="32"/>
    <s v="FP1"/>
    <n v="1713"/>
    <n v="476"/>
    <n v="73"/>
    <n v="0.78254910918227505"/>
    <n v="0.95912653975363937"/>
    <n v="0.86188679245283017"/>
  </r>
  <r>
    <x v="0"/>
    <s v="S41/091104n"/>
    <s v="all_channel"/>
    <x v="2"/>
    <s v="mean"/>
    <n v="32"/>
    <s v="FP2"/>
    <n v="1737"/>
    <n v="511"/>
    <n v="49"/>
    <n v="0.77268683274021355"/>
    <n v="0.97256438969764836"/>
    <n v="0.86117997025285076"/>
  </r>
  <r>
    <x v="0"/>
    <s v="S41/091104n"/>
    <s v="all_channel"/>
    <x v="3"/>
    <s v="median"/>
    <n v="32"/>
    <s v="FP2"/>
    <n v="1739"/>
    <n v="525"/>
    <n v="47"/>
    <n v="0.76810954063604242"/>
    <n v="0.97368421052631582"/>
    <n v="0.85876543209876544"/>
  </r>
  <r>
    <x v="0"/>
    <s v="S49/080527n"/>
    <s v="all_channel"/>
    <x v="0"/>
    <m/>
    <n v="32"/>
    <s v="T4"/>
    <n v="110"/>
    <n v="558"/>
    <n v="64"/>
    <n v="0.1646706586826347"/>
    <n v="0.63218390804597702"/>
    <n v="0.26128266033254149"/>
  </r>
  <r>
    <x v="0"/>
    <s v="S49/080527n"/>
    <s v="all_channel"/>
    <x v="1"/>
    <m/>
    <n v="32"/>
    <s v="F8"/>
    <n v="118"/>
    <n v="68"/>
    <n v="56"/>
    <n v="0.63440860215053763"/>
    <n v="0.67816091954022983"/>
    <n v="0.65555555555555556"/>
  </r>
  <r>
    <x v="0"/>
    <s v="S49/080527n"/>
    <s v="all_channel"/>
    <x v="2"/>
    <s v="mean"/>
    <n v="32"/>
    <s v="F4"/>
    <n v="141"/>
    <n v="191"/>
    <n v="33"/>
    <n v="0.4246987951807229"/>
    <n v="0.81034482758620685"/>
    <n v="0.55731225296442688"/>
  </r>
  <r>
    <x v="0"/>
    <s v="S49/080527n"/>
    <s v="all_channel"/>
    <x v="3"/>
    <s v="median"/>
    <n v="32"/>
    <s v="F7"/>
    <n v="149"/>
    <n v="212"/>
    <n v="25"/>
    <n v="0.41274238227146809"/>
    <n v="0.85632183908045978"/>
    <n v="0.55700934579439254"/>
  </r>
  <r>
    <x v="0"/>
    <s v="S42/070105n"/>
    <s v="all_channel"/>
    <x v="0"/>
    <m/>
    <n v="32"/>
    <s v="FP2"/>
    <n v="1292"/>
    <n v="1845"/>
    <n v="23"/>
    <n v="0.41185846350015931"/>
    <n v="0.98250950570342199"/>
    <n v="0.58041329739442937"/>
  </r>
  <r>
    <x v="0"/>
    <s v="S42/070105n"/>
    <s v="all_channel"/>
    <x v="1"/>
    <m/>
    <n v="32"/>
    <s v="F3"/>
    <n v="68"/>
    <n v="158"/>
    <n v="1247"/>
    <n v="0.30088495575221241"/>
    <n v="5.1711026615969498E-2"/>
    <n v="8.8254380272550198E-2"/>
  </r>
  <r>
    <x v="0"/>
    <s v="S42/070105n"/>
    <s v="all_channel"/>
    <x v="2"/>
    <s v="mean"/>
    <n v="32"/>
    <s v="FP1"/>
    <n v="1107"/>
    <n v="1148"/>
    <n v="208"/>
    <n v="0.49090909090909091"/>
    <n v="0.84182509505703418"/>
    <n v="0.62016806722689077"/>
  </r>
  <r>
    <x v="0"/>
    <s v="S42/070105n"/>
    <s v="all_channel"/>
    <x v="3"/>
    <s v="median"/>
    <n v="32"/>
    <s v="FP1"/>
    <n v="1127"/>
    <n v="1165"/>
    <n v="188"/>
    <n v="0.4917102966841187"/>
    <n v="0.85703422053231937"/>
    <n v="0.62489603548655392"/>
  </r>
  <r>
    <x v="0"/>
    <s v="S44/070205n"/>
    <s v="all_channel"/>
    <x v="0"/>
    <m/>
    <n v="32"/>
    <s v="FC4"/>
    <n v="1007"/>
    <n v="1599"/>
    <n v="95"/>
    <n v="0.386415963161934"/>
    <n v="0.91379310344827602"/>
    <n v="0.54314994606256739"/>
  </r>
  <r>
    <x v="0"/>
    <s v="S44/070205n"/>
    <s v="all_channel"/>
    <x v="1"/>
    <m/>
    <n v="32"/>
    <s v="FZ"/>
    <n v="746"/>
    <n v="642"/>
    <n v="356"/>
    <n v="0.53746397694524495"/>
    <n v="0.67695099818511795"/>
    <n v="0.59919678714859448"/>
  </r>
  <r>
    <x v="0"/>
    <s v="S44/070205n"/>
    <s v="all_channel"/>
    <x v="2"/>
    <s v="mean"/>
    <n v="32"/>
    <s v="FP2"/>
    <n v="1034"/>
    <n v="607"/>
    <n v="68"/>
    <n v="0.63010359536867766"/>
    <n v="0.93829401088929221"/>
    <n v="0.75391906671527531"/>
  </r>
  <r>
    <x v="0"/>
    <s v="S44/070205n"/>
    <s v="all_channel"/>
    <x v="3"/>
    <s v="median"/>
    <n v="32"/>
    <s v="FP2"/>
    <n v="1039"/>
    <n v="632"/>
    <n v="63"/>
    <n v="0.62178336325553563"/>
    <n v="0.94283121597096198"/>
    <n v="0.7493689145329967"/>
  </r>
  <r>
    <x v="0"/>
    <s v="S44/070325n"/>
    <s v="all_channel"/>
    <x v="0"/>
    <m/>
    <n v="32"/>
    <s v="FP1"/>
    <n v="1273"/>
    <n v="1537"/>
    <n v="6"/>
    <n v="0.45302491103202841"/>
    <n v="0.99530883502736522"/>
    <n v="0.6226461237466373"/>
  </r>
  <r>
    <x v="0"/>
    <s v="S44/070325n"/>
    <s v="all_channel"/>
    <x v="1"/>
    <m/>
    <n v="32"/>
    <s v="A2"/>
    <n v="4"/>
    <n v="62"/>
    <n v="1275"/>
    <n v="6.0606060606060601E-2"/>
    <n v="3.1274433150899001E-3"/>
    <n v="5.9479553903345004E-3"/>
  </r>
  <r>
    <x v="0"/>
    <s v="S44/070325n"/>
    <s v="all_channel"/>
    <x v="2"/>
    <s v="mean"/>
    <n v="32"/>
    <s v="FP2"/>
    <n v="1227"/>
    <n v="478"/>
    <n v="52"/>
    <n v="0.71964809384164219"/>
    <n v="0.95934323690383116"/>
    <n v="0.82238605898123329"/>
  </r>
  <r>
    <x v="0"/>
    <s v="S44/070325n"/>
    <s v="all_channel"/>
    <x v="3"/>
    <s v="median"/>
    <n v="32"/>
    <s v="FP2"/>
    <n v="1234"/>
    <n v="519"/>
    <n v="45"/>
    <n v="0.70393610952652597"/>
    <n v="0.96481626270523835"/>
    <n v="0.81398416886543534"/>
  </r>
  <r>
    <x v="0"/>
    <s v="S05/061101n"/>
    <s v="all_channel"/>
    <x v="0"/>
    <m/>
    <n v="32"/>
    <s v="FP1"/>
    <n v="3780"/>
    <n v="978"/>
    <n v="7"/>
    <n v="0.79445145018915508"/>
    <n v="0.99815157116451003"/>
    <n v="0.88472791105909887"/>
  </r>
  <r>
    <x v="0"/>
    <s v="S05/061101n"/>
    <s v="all_channel"/>
    <x v="1"/>
    <m/>
    <n v="32"/>
    <s v="FC3"/>
    <n v="2552"/>
    <n v="1000"/>
    <n v="1235"/>
    <n v="0.71846846846846846"/>
    <n v="0.67388434116715079"/>
    <n v="0.69546259708407132"/>
  </r>
  <r>
    <x v="0"/>
    <s v="S05/061101n"/>
    <s v="all_channel"/>
    <x v="2"/>
    <s v="mean"/>
    <n v="32"/>
    <s v="FP1"/>
    <n v="3514"/>
    <n v="459"/>
    <n v="273"/>
    <n v="0.88447017367228797"/>
    <n v="0.92791127541589635"/>
    <n v="0.90567010309278362"/>
  </r>
  <r>
    <x v="0"/>
    <s v="S05/061101n"/>
    <s v="all_channel"/>
    <x v="3"/>
    <s v="median"/>
    <n v="32"/>
    <s v="FP1"/>
    <n v="3610"/>
    <n v="509"/>
    <n v="177"/>
    <n v="0.87642631706724938"/>
    <n v="0.95326115658832844"/>
    <n v="0.91323045788009116"/>
  </r>
  <r>
    <x v="0"/>
    <s v="S52/081017n"/>
    <s v="all_channel"/>
    <x v="0"/>
    <m/>
    <n v="32"/>
    <s v="FP1"/>
    <n v="479"/>
    <n v="590"/>
    <n v="0"/>
    <n v="0.44808231992516367"/>
    <n v="1"/>
    <n v="0.61886304909560719"/>
  </r>
  <r>
    <x v="0"/>
    <s v="S52/081017n"/>
    <s v="all_channel"/>
    <x v="1"/>
    <m/>
    <n v="32"/>
    <s v="FZ"/>
    <n v="413"/>
    <n v="71"/>
    <n v="66"/>
    <n v="0.85330578512396693"/>
    <n v="0.86221294363256784"/>
    <n v="0.85773624091381095"/>
  </r>
  <r>
    <x v="0"/>
    <s v="S52/081017n"/>
    <s v="all_channel"/>
    <x v="2"/>
    <s v="mean"/>
    <n v="32"/>
    <s v="FCZ"/>
    <n v="467"/>
    <n v="193"/>
    <n v="12"/>
    <n v="0.70757575757575752"/>
    <n v="0.97494780793319402"/>
    <n v="0.82001755926251085"/>
  </r>
  <r>
    <x v="0"/>
    <s v="S52/081017n"/>
    <s v="all_channel"/>
    <x v="3"/>
    <s v="median"/>
    <n v="32"/>
    <s v="FCZ"/>
    <n v="467"/>
    <n v="207"/>
    <n v="12"/>
    <n v="0.69287833827893175"/>
    <n v="0.97494780793319402"/>
    <n v="0.81006071118820477"/>
  </r>
  <r>
    <x v="0"/>
    <s v="S53/081018n"/>
    <s v="all_channel"/>
    <x v="0"/>
    <m/>
    <n v="32"/>
    <s v="FP1"/>
    <n v="680"/>
    <n v="590"/>
    <n v="3"/>
    <n v="0.53543307086614178"/>
    <n v="0.99560761346998539"/>
    <n v="0.69636456733230934"/>
  </r>
  <r>
    <x v="0"/>
    <s v="S53/081018n"/>
    <s v="all_channel"/>
    <x v="1"/>
    <m/>
    <n v="32"/>
    <s v="FP1"/>
    <n v="652"/>
    <n v="154"/>
    <n v="31"/>
    <n v="0.80893300248138955"/>
    <n v="0.9546120058565154"/>
    <n v="0.87575554063129613"/>
  </r>
  <r>
    <x v="0"/>
    <s v="S53/081018n"/>
    <s v="all_channel"/>
    <x v="2"/>
    <s v="mean"/>
    <n v="32"/>
    <s v="F7"/>
    <n v="631"/>
    <n v="157"/>
    <n v="52"/>
    <n v="0.800761421319797"/>
    <n v="0.92386530014641277"/>
    <n v="0.85791978246091094"/>
  </r>
  <r>
    <x v="0"/>
    <s v="S53/081018n"/>
    <s v="all_channel"/>
    <x v="3"/>
    <s v="median"/>
    <n v="32"/>
    <s v="F3"/>
    <n v="623"/>
    <n v="152"/>
    <n v="60"/>
    <n v="0.80387096774193545"/>
    <n v="0.91215226939970717"/>
    <n v="0.85459533607681748"/>
  </r>
  <r>
    <x v="0"/>
    <s v="S54/081226m"/>
    <s v="all_channel"/>
    <x v="0"/>
    <m/>
    <n v="32"/>
    <s v="FP2"/>
    <n v="263"/>
    <n v="776"/>
    <n v="1"/>
    <n v="0.25312800769971128"/>
    <n v="0.99621212121212122"/>
    <n v="0.40368380660015352"/>
  </r>
  <r>
    <x v="0"/>
    <s v="S54/081226m"/>
    <s v="all_channel"/>
    <x v="1"/>
    <m/>
    <n v="32"/>
    <s v="FP2"/>
    <n v="222"/>
    <n v="116"/>
    <n v="42"/>
    <n v="0.65680473372781067"/>
    <n v="0.84090909090909094"/>
    <n v="0.73754152823920271"/>
  </r>
  <r>
    <x v="0"/>
    <s v="S54/081226m"/>
    <s v="all_channel"/>
    <x v="2"/>
    <s v="mean"/>
    <n v="32"/>
    <s v="F3"/>
    <n v="188"/>
    <n v="117"/>
    <n v="76"/>
    <n v="0.61639344262295082"/>
    <n v="0.71212121212121215"/>
    <n v="0.66080843585237259"/>
  </r>
  <r>
    <x v="0"/>
    <s v="S54/081226m"/>
    <s v="all_channel"/>
    <x v="3"/>
    <s v="median"/>
    <n v="32"/>
    <s v="F3"/>
    <n v="194"/>
    <n v="131"/>
    <n v="70"/>
    <n v="0.59692307692307689"/>
    <n v="0.73484848484848486"/>
    <n v="0.65874363327674024"/>
  </r>
  <r>
    <x v="0"/>
    <s v="S44/070126m"/>
    <s v="all_channel"/>
    <x v="0"/>
    <m/>
    <n v="32"/>
    <s v="FP1"/>
    <n v="1807"/>
    <n v="1303"/>
    <n v="6"/>
    <n v="0.58102893890675245"/>
    <n v="0.99669056811913959"/>
    <n v="0.73410522039406867"/>
  </r>
  <r>
    <x v="0"/>
    <s v="S44/070126m"/>
    <s v="all_channel"/>
    <x v="1"/>
    <m/>
    <n v="32"/>
    <s v="FZ"/>
    <n v="445"/>
    <n v="1246"/>
    <n v="1368"/>
    <n v="0.26315789473684209"/>
    <n v="0.24544953116381679"/>
    <n v="0.25399543378995432"/>
  </r>
  <r>
    <x v="0"/>
    <s v="S44/070126m"/>
    <s v="all_channel"/>
    <x v="2"/>
    <s v="mean"/>
    <n v="32"/>
    <s v="FP1"/>
    <n v="1759"/>
    <n v="424"/>
    <n v="54"/>
    <n v="0.80577187356848379"/>
    <n v="0.97021511307225605"/>
    <n v="0.88038038038038036"/>
  </r>
  <r>
    <x v="0"/>
    <s v="S44/070126m"/>
    <s v="all_channel"/>
    <x v="3"/>
    <s v="median"/>
    <n v="32"/>
    <s v="FP1"/>
    <n v="1766"/>
    <n v="458"/>
    <n v="47"/>
    <n v="0.7940647482014388"/>
    <n v="0.97407611693325979"/>
    <n v="0.8749071092395343"/>
  </r>
  <r>
    <x v="0"/>
    <s v="S45/070321n"/>
    <s v="all_channel"/>
    <x v="0"/>
    <m/>
    <n v="32"/>
    <s v="FP2"/>
    <n v="1412"/>
    <n v="1639"/>
    <n v="7"/>
    <n v="0.46279908226810879"/>
    <n v="0.99506694855532063"/>
    <n v="0.6317673378076063"/>
  </r>
  <r>
    <x v="0"/>
    <s v="S45/070321n"/>
    <s v="all_channel"/>
    <x v="1"/>
    <m/>
    <n v="32"/>
    <s v="F8"/>
    <n v="1067"/>
    <n v="664"/>
    <n v="352"/>
    <n v="0.61640670132871178"/>
    <n v="0.75193798449612403"/>
    <n v="0.67746031746031754"/>
  </r>
  <r>
    <x v="0"/>
    <s v="S45/070321n"/>
    <s v="all_channel"/>
    <x v="2"/>
    <s v="mean"/>
    <n v="32"/>
    <s v="FP2"/>
    <n v="1151"/>
    <n v="445"/>
    <n v="268"/>
    <n v="0.72117794486215536"/>
    <n v="0.81113460183227626"/>
    <n v="0.76351575456053067"/>
  </r>
  <r>
    <x v="0"/>
    <s v="S45/070321n"/>
    <s v="all_channel"/>
    <x v="3"/>
    <s v="median"/>
    <n v="32"/>
    <s v="FP2"/>
    <n v="1182"/>
    <n v="489"/>
    <n v="237"/>
    <n v="0.70736086175942547"/>
    <n v="0.83298097251585623"/>
    <n v="0.7650485436893204"/>
  </r>
  <r>
    <x v="0"/>
    <s v="S43/070202m"/>
    <s v="all_channel"/>
    <x v="0"/>
    <m/>
    <n v="32"/>
    <s v="FP2"/>
    <n v="1899"/>
    <n v="1274"/>
    <n v="4"/>
    <n v="0.59848723605420739"/>
    <n v="0.99789805570152401"/>
    <n v="0.74822695035460995"/>
  </r>
  <r>
    <x v="0"/>
    <s v="S43/070202m"/>
    <s v="all_channel"/>
    <x v="1"/>
    <m/>
    <n v="32"/>
    <s v="FP2"/>
    <n v="427"/>
    <n v="256"/>
    <n v="1476"/>
    <n v="0.62518301610541727"/>
    <n v="0.22438255386232259"/>
    <n v="0.33023975251353438"/>
  </r>
  <r>
    <x v="0"/>
    <s v="S43/070202m"/>
    <s v="all_channel"/>
    <x v="2"/>
    <s v="mean"/>
    <n v="32"/>
    <s v="FP1"/>
    <n v="1847"/>
    <n v="422"/>
    <n v="56"/>
    <n v="0.81401498457470256"/>
    <n v="0.97057277982133483"/>
    <n v="0.88542665388302977"/>
  </r>
  <r>
    <x v="0"/>
    <s v="S43/070202m"/>
    <s v="all_channel"/>
    <x v="3"/>
    <s v="median"/>
    <n v="32"/>
    <s v="F4"/>
    <n v="1714"/>
    <n v="282"/>
    <n v="189"/>
    <n v="0.8587174348697395"/>
    <n v="0.90068313189700477"/>
    <n v="0.87919979481918453"/>
  </r>
  <r>
    <x v="0"/>
    <s v="S50/080725n"/>
    <s v="all_channel"/>
    <x v="0"/>
    <m/>
    <n v="32"/>
    <s v="C3"/>
    <n v="1031"/>
    <n v="502"/>
    <n v="60"/>
    <n v="0.67253750815394653"/>
    <n v="0.94500458295142076"/>
    <n v="0.78582317073170727"/>
  </r>
  <r>
    <x v="0"/>
    <s v="S50/080725n"/>
    <s v="all_channel"/>
    <x v="1"/>
    <m/>
    <n v="32"/>
    <s v="FP2"/>
    <n v="1044"/>
    <n v="132"/>
    <n v="47"/>
    <n v="0.88775510204081631"/>
    <n v="0.95692025664527958"/>
    <n v="0.9210410233789148"/>
  </r>
  <r>
    <x v="0"/>
    <s v="S50/080725n"/>
    <s v="all_channel"/>
    <x v="2"/>
    <s v="mean"/>
    <n v="32"/>
    <s v="FP1"/>
    <n v="1064"/>
    <n v="87"/>
    <n v="27"/>
    <n v="0.92441355343179843"/>
    <n v="0.97525206232813921"/>
    <n v="0.94915254237288116"/>
  </r>
  <r>
    <x v="0"/>
    <s v="S50/080725n"/>
    <s v="all_channel"/>
    <x v="3"/>
    <s v="median"/>
    <n v="32"/>
    <s v="FP1"/>
    <n v="1069"/>
    <n v="126"/>
    <n v="22"/>
    <n v="0.89456066945606694"/>
    <n v="0.9798350137488544"/>
    <n v="0.93525809273840765"/>
  </r>
  <r>
    <x v="0"/>
    <s v="S50/080731m"/>
    <s v="all_channel"/>
    <x v="0"/>
    <m/>
    <n v="32"/>
    <s v="F7"/>
    <n v="1071"/>
    <n v="455"/>
    <n v="2"/>
    <n v="0.70183486238532111"/>
    <n v="0.99813606710158442"/>
    <n v="0.82416313966910348"/>
  </r>
  <r>
    <x v="0"/>
    <s v="S50/080731m"/>
    <s v="all_channel"/>
    <x v="1"/>
    <m/>
    <n v="32"/>
    <s v="FP1"/>
    <n v="1059"/>
    <n v="239"/>
    <n v="14"/>
    <n v="0.81587057010785824"/>
    <n v="0.98695246971109041"/>
    <n v="0.89329396878954026"/>
  </r>
  <r>
    <x v="0"/>
    <s v="S50/080731m"/>
    <s v="all_channel"/>
    <x v="2"/>
    <s v="mean"/>
    <n v="32"/>
    <s v="FP1"/>
    <n v="1056"/>
    <n v="67"/>
    <n v="17"/>
    <n v="0.9403383793410508"/>
    <n v="0.98415657036346682"/>
    <n v="0.96174863387978138"/>
  </r>
  <r>
    <x v="0"/>
    <s v="S50/080731m"/>
    <s v="all_channel"/>
    <x v="3"/>
    <s v="median"/>
    <n v="32"/>
    <s v="F7"/>
    <n v="1054"/>
    <n v="77"/>
    <n v="19"/>
    <n v="0.93191865605658719"/>
    <n v="0.98229263746505124"/>
    <n v="0.95644283121597085"/>
  </r>
  <r>
    <x v="0"/>
    <s v="S43/070208n"/>
    <s v="all_channel"/>
    <x v="0"/>
    <m/>
    <n v="32"/>
    <s v="FP1"/>
    <n v="2543"/>
    <n v="1075"/>
    <n v="12"/>
    <n v="0.70287451630735209"/>
    <n v="0.99530332681017597"/>
    <n v="0.82391057832496351"/>
  </r>
  <r>
    <x v="0"/>
    <s v="S43/070208n"/>
    <s v="all_channel"/>
    <x v="1"/>
    <m/>
    <n v="32"/>
    <s v="FZ"/>
    <n v="221"/>
    <n v="220"/>
    <n v="2334"/>
    <n v="0.50113378684807253"/>
    <n v="8.6497064579256294E-2"/>
    <n v="0.1475300400534045"/>
  </r>
  <r>
    <x v="0"/>
    <s v="S43/070208n"/>
    <s v="all_channel"/>
    <x v="2"/>
    <s v="mean"/>
    <n v="32"/>
    <s v="FP1"/>
    <n v="2060"/>
    <n v="252"/>
    <n v="495"/>
    <n v="0.89100346020761245"/>
    <n v="0.80626223091976512"/>
    <n v="0.84651736182453263"/>
  </r>
  <r>
    <x v="0"/>
    <s v="S43/070208n"/>
    <s v="all_channel"/>
    <x v="3"/>
    <s v="median"/>
    <n v="32"/>
    <s v="FP1"/>
    <n v="2152"/>
    <n v="300"/>
    <n v="403"/>
    <n v="0.87765089722675371"/>
    <n v="0.84227005870841487"/>
    <n v="0.85959656480926716"/>
  </r>
  <r>
    <x v="0"/>
    <s v="S43/070205n"/>
    <s v="all_channel"/>
    <x v="0"/>
    <m/>
    <n v="32"/>
    <s v="FP1"/>
    <n v="2458"/>
    <n v="1150"/>
    <n v="8"/>
    <n v="0.6812638580931264"/>
    <n v="0.99675587996755877"/>
    <n v="0.80935133355284816"/>
  </r>
  <r>
    <x v="0"/>
    <s v="S43/070205n"/>
    <s v="all_channel"/>
    <x v="1"/>
    <m/>
    <n v="32"/>
    <s v="FZ"/>
    <n v="140"/>
    <n v="160"/>
    <n v="2326"/>
    <n v="0.46666666666666667"/>
    <n v="5.6772100567721001E-2"/>
    <n v="0.1012292118582791"/>
  </r>
  <r>
    <x v="0"/>
    <s v="S43/070205n"/>
    <s v="all_channel"/>
    <x v="2"/>
    <s v="mean"/>
    <n v="32"/>
    <s v="FP2"/>
    <n v="2244"/>
    <n v="228"/>
    <n v="222"/>
    <n v="0.90776699029126218"/>
    <n v="0.9099756690997568"/>
    <n v="0.9088699878493316"/>
  </r>
  <r>
    <x v="0"/>
    <s v="S43/070205n"/>
    <s v="all_channel"/>
    <x v="3"/>
    <s v="median"/>
    <n v="32"/>
    <s v="FP1"/>
    <n v="2305"/>
    <n v="272"/>
    <n v="161"/>
    <n v="0.89445091191307724"/>
    <n v="0.93471208434712083"/>
    <n v="0.91413840967677962"/>
  </r>
  <r>
    <x v="0"/>
    <s v="S53/090925m"/>
    <s v="all_channel"/>
    <x v="0"/>
    <m/>
    <n v="32"/>
    <s v="FP2"/>
    <n v="364"/>
    <n v="2299"/>
    <n v="3"/>
    <n v="0.1366879459256477"/>
    <n v="0.99182561307901917"/>
    <n v="0.24026402640264019"/>
  </r>
  <r>
    <x v="0"/>
    <s v="S53/090925m"/>
    <s v="all_channel"/>
    <x v="1"/>
    <m/>
    <n v="32"/>
    <s v="FP1"/>
    <n v="269"/>
    <n v="765"/>
    <n v="98"/>
    <n v="0.26015473887814311"/>
    <n v="0.73297002724795646"/>
    <n v="0.38401142041399"/>
  </r>
  <r>
    <x v="0"/>
    <s v="S53/090925m"/>
    <s v="all_channel"/>
    <x v="2"/>
    <s v="mean"/>
    <n v="32"/>
    <s v="FP1"/>
    <n v="288"/>
    <n v="715"/>
    <n v="79"/>
    <n v="0.28713858424725819"/>
    <n v="0.78474114441416898"/>
    <n v="0.42043795620437951"/>
  </r>
  <r>
    <x v="0"/>
    <s v="S53/090925m"/>
    <s v="all_channel"/>
    <x v="3"/>
    <s v="median"/>
    <n v="32"/>
    <s v="FP1"/>
    <n v="289"/>
    <n v="731"/>
    <n v="78"/>
    <n v="0.28333333333333333"/>
    <n v="0.78746594005449588"/>
    <n v="0.41672674837779378"/>
  </r>
  <r>
    <x v="0"/>
    <s v="S53/090918n"/>
    <s v="all_channel"/>
    <x v="0"/>
    <m/>
    <n v="32"/>
    <s v="FP1"/>
    <n v="807"/>
    <n v="1735"/>
    <n v="2"/>
    <n v="0.3174665617623918"/>
    <n v="0.99752781211372077"/>
    <n v="0.48164726947179942"/>
  </r>
  <r>
    <x v="0"/>
    <s v="S53/090918n"/>
    <s v="all_channel"/>
    <x v="1"/>
    <m/>
    <n v="32"/>
    <s v="FP1"/>
    <n v="686"/>
    <n v="785"/>
    <n v="123"/>
    <n v="0.4663494221617947"/>
    <n v="0.84796044499381951"/>
    <n v="0.60175438596491226"/>
  </r>
  <r>
    <x v="0"/>
    <s v="S53/090918n"/>
    <s v="all_channel"/>
    <x v="2"/>
    <s v="mean"/>
    <n v="32"/>
    <s v="FP1"/>
    <n v="741"/>
    <n v="878"/>
    <n v="68"/>
    <n v="0.45768993205682518"/>
    <n v="0.91594561186650181"/>
    <n v="0.61037891268533773"/>
  </r>
  <r>
    <x v="0"/>
    <s v="S53/090918n"/>
    <s v="all_channel"/>
    <x v="3"/>
    <s v="median"/>
    <n v="32"/>
    <s v="FP1"/>
    <n v="749"/>
    <n v="912"/>
    <n v="60"/>
    <n v="0.45093317278747741"/>
    <n v="0.92583436341161918"/>
    <n v="0.60647773279352224"/>
  </r>
  <r>
    <x v="0"/>
    <s v="S40/070124n"/>
    <s v="all_channel"/>
    <x v="0"/>
    <m/>
    <n v="32"/>
    <s v="FP2"/>
    <n v="4604"/>
    <n v="1331"/>
    <n v="44"/>
    <n v="0.77573715248525699"/>
    <n v="0.99053356282271943"/>
    <n v="0.87007464802041001"/>
  </r>
  <r>
    <x v="0"/>
    <s v="S40/070124n"/>
    <s v="all_channel"/>
    <x v="1"/>
    <m/>
    <n v="32"/>
    <s v="FCZ"/>
    <n v="1952"/>
    <n v="1203"/>
    <n v="2696"/>
    <n v="0.61870047543581619"/>
    <n v="0.41996557659208261"/>
    <n v="0.50032038959374603"/>
  </r>
  <r>
    <x v="0"/>
    <s v="S40/070124n"/>
    <s v="all_channel"/>
    <x v="2"/>
    <s v="mean"/>
    <n v="32"/>
    <s v="FP2"/>
    <n v="3727"/>
    <n v="491"/>
    <n v="921"/>
    <n v="0.88359412043622565"/>
    <n v="0.80185025817555933"/>
    <n v="0.84073990525603415"/>
  </r>
  <r>
    <x v="0"/>
    <s v="S40/070124n"/>
    <s v="all_channel"/>
    <x v="3"/>
    <s v="median"/>
    <n v="32"/>
    <s v="FP1"/>
    <n v="4001"/>
    <n v="575"/>
    <n v="647"/>
    <n v="0.87434440559440563"/>
    <n v="0.86080034423407914"/>
    <n v="0.86751951431049446"/>
  </r>
  <r>
    <x v="0"/>
    <s v="S45/070307n"/>
    <s v="all_channel"/>
    <x v="0"/>
    <m/>
    <n v="32"/>
    <s v="FP1"/>
    <n v="2676"/>
    <n v="1083"/>
    <n v="7"/>
    <n v="0.71189146049481244"/>
    <n v="0.99739098024599315"/>
    <n v="0.8307978888543931"/>
  </r>
  <r>
    <x v="0"/>
    <s v="S45/070307n"/>
    <s v="all_channel"/>
    <x v="1"/>
    <m/>
    <n v="32"/>
    <s v="FP1"/>
    <n v="205"/>
    <n v="365"/>
    <n v="2478"/>
    <n v="0.3596491228070175"/>
    <n v="7.6407007081624997E-2"/>
    <n v="0.12603750384260681"/>
  </r>
  <r>
    <x v="0"/>
    <s v="S45/070307n"/>
    <s v="all_channel"/>
    <x v="2"/>
    <s v="mean"/>
    <n v="32"/>
    <s v="FP1"/>
    <n v="2482"/>
    <n v="559"/>
    <n v="201"/>
    <n v="0.81617888852351195"/>
    <n v="0.92508386134923604"/>
    <n v="0.86722571628232004"/>
  </r>
  <r>
    <x v="0"/>
    <s v="S45/070307n"/>
    <s v="all_channel"/>
    <x v="3"/>
    <s v="median"/>
    <n v="32"/>
    <s v="FP1"/>
    <n v="2538"/>
    <n v="629"/>
    <n v="145"/>
    <n v="0.80138932743921687"/>
    <n v="0.94595601938128959"/>
    <n v="0.86769230769230754"/>
  </r>
  <r>
    <x v="0"/>
    <s v="S55/090930n"/>
    <s v="all_channel"/>
    <x v="0"/>
    <m/>
    <n v="32"/>
    <s v="FP2"/>
    <n v="2522"/>
    <n v="26"/>
    <n v="3"/>
    <n v="0.98979591836734682"/>
    <n v="0.99881188118811881"/>
    <n v="0.99428346146264523"/>
  </r>
  <r>
    <x v="0"/>
    <s v="S55/090930n"/>
    <s v="all_channel"/>
    <x v="1"/>
    <m/>
    <n v="32"/>
    <s v="FP1"/>
    <n v="2475"/>
    <n v="26"/>
    <n v="50"/>
    <n v="0.98960415833666537"/>
    <n v="0.98019801980198018"/>
    <n v="0.98487863111818541"/>
  </r>
  <r>
    <x v="0"/>
    <s v="S55/090930n"/>
    <s v="all_channel"/>
    <x v="2"/>
    <s v="mean"/>
    <n v="32"/>
    <s v="FP1"/>
    <n v="2486"/>
    <n v="2"/>
    <n v="39"/>
    <n v="0.99919614147909963"/>
    <n v="0.98455445544554443"/>
    <n v="0.99182126471174958"/>
  </r>
  <r>
    <x v="0"/>
    <s v="S55/090930n"/>
    <s v="all_channel"/>
    <x v="3"/>
    <s v="median"/>
    <n v="32"/>
    <s v="FP1"/>
    <n v="2493"/>
    <n v="4"/>
    <n v="32"/>
    <n v="0.99839807769323197"/>
    <n v="0.9873267326732672"/>
    <n v="0.99283154121863804"/>
  </r>
  <r>
    <x v="1"/>
    <s v="S12/S25_20190124_060024_3"/>
    <s v="all_channel"/>
    <x v="0"/>
    <m/>
    <n v="32"/>
    <s v="E23"/>
    <n v="470"/>
    <n v="76"/>
    <n v="19"/>
    <n v="0.86080586080586086"/>
    <n v="0.96114519427402878"/>
    <n v="0.90821256038647358"/>
  </r>
  <r>
    <x v="1"/>
    <s v="S12/S25_20190124_060024_3"/>
    <s v="all_channel"/>
    <x v="1"/>
    <m/>
    <n v="32"/>
    <s v="E22"/>
    <n v="468"/>
    <n v="13"/>
    <n v="21"/>
    <n v="0.97297297297297303"/>
    <n v="0.95705521472392641"/>
    <n v="0.96494845360824744"/>
  </r>
  <r>
    <x v="1"/>
    <s v="S12/S25_20190124_060024_3"/>
    <s v="all_channel"/>
    <x v="2"/>
    <s v="mean"/>
    <n v="32"/>
    <s v="E9"/>
    <n v="468"/>
    <n v="22"/>
    <n v="21"/>
    <n v="0.95510204081632644"/>
    <n v="0.95705521472392641"/>
    <n v="0.95607763023493364"/>
  </r>
  <r>
    <x v="1"/>
    <s v="S12/S25_20190124_060024_3"/>
    <s v="all_channel"/>
    <x v="3"/>
    <s v="median"/>
    <n v="32"/>
    <s v="E22"/>
    <n v="469"/>
    <n v="25"/>
    <n v="20"/>
    <n v="0.9493927125506072"/>
    <n v="0.95910020449897759"/>
    <n v="0.9542217700915564"/>
  </r>
  <r>
    <x v="1"/>
    <s v="S1/S01_20170519_043933_3"/>
    <s v="all_channel"/>
    <x v="0"/>
    <m/>
    <n v="32"/>
    <s v="E3"/>
    <n v="127"/>
    <n v="423"/>
    <n v="5"/>
    <n v="0.2309090909090909"/>
    <n v="0.96212121212121215"/>
    <n v="0.37243401759530792"/>
  </r>
  <r>
    <x v="1"/>
    <s v="S1/S01_20170519_043933_3"/>
    <s v="all_channel"/>
    <x v="1"/>
    <m/>
    <n v="32"/>
    <s v="E59"/>
    <n v="0"/>
    <n v="2"/>
    <n v="132"/>
    <n v="0"/>
    <n v="0"/>
    <n v="0"/>
  </r>
  <r>
    <x v="1"/>
    <s v="S1/S01_20170519_043933_3"/>
    <s v="all_channel"/>
    <x v="2"/>
    <s v="mean"/>
    <n v="32"/>
    <s v="E3"/>
    <n v="123"/>
    <n v="141"/>
    <n v="9"/>
    <n v="0.46590909090909088"/>
    <n v="0.93181818181818177"/>
    <n v="0.6212121212121211"/>
  </r>
  <r>
    <x v="1"/>
    <s v="S1/S01_20170519_043933_3"/>
    <s v="all_channel"/>
    <x v="3"/>
    <s v="median"/>
    <n v="32"/>
    <s v="E3"/>
    <n v="123"/>
    <n v="142"/>
    <n v="9"/>
    <n v="0.46415094339622642"/>
    <n v="0.93181818181818177"/>
    <n v="0.61964735516372793"/>
  </r>
  <r>
    <x v="1"/>
    <s v="S10/S23_20181226_042222_3"/>
    <s v="all_channel"/>
    <x v="0"/>
    <m/>
    <n v="32"/>
    <s v="E22"/>
    <n v="236"/>
    <n v="318"/>
    <n v="9"/>
    <n v="0.4259927797833935"/>
    <n v="0.96326530612244898"/>
    <n v="0.59073842302878599"/>
  </r>
  <r>
    <x v="1"/>
    <s v="S10/S23_20181226_042222_3"/>
    <s v="all_channel"/>
    <x v="1"/>
    <m/>
    <n v="32"/>
    <s v="E67"/>
    <n v="6"/>
    <n v="36"/>
    <n v="239"/>
    <n v="0.14285714285714279"/>
    <n v="2.4489795918367301E-2"/>
    <n v="4.1811846689895397E-2"/>
  </r>
  <r>
    <x v="1"/>
    <s v="S10/S23_20181226_042222_3"/>
    <s v="all_channel"/>
    <x v="2"/>
    <s v="mean"/>
    <n v="32"/>
    <s v="E22"/>
    <n v="220"/>
    <n v="60"/>
    <n v="25"/>
    <n v="0.7857142857142857"/>
    <n v="0.89795918367346939"/>
    <n v="0.838095238095238"/>
  </r>
  <r>
    <x v="1"/>
    <s v="S10/S23_20181226_042222_3"/>
    <s v="all_channel"/>
    <x v="3"/>
    <s v="median"/>
    <n v="32"/>
    <s v="E9"/>
    <n v="225"/>
    <n v="67"/>
    <n v="20"/>
    <n v="0.77054794520547942"/>
    <n v="0.91836734693877564"/>
    <n v="0.83798882681564246"/>
  </r>
  <r>
    <x v="1"/>
    <s v="S13/S26_20190108_035218_3"/>
    <s v="all_channel"/>
    <x v="0"/>
    <m/>
    <n v="32"/>
    <s v="E9"/>
    <n v="497"/>
    <n v="140"/>
    <n v="11"/>
    <n v="0.78021978021978022"/>
    <n v="0.97834645669291342"/>
    <n v="0.86812227074235815"/>
  </r>
  <r>
    <x v="1"/>
    <s v="S13/S26_20190108_035218_3"/>
    <s v="all_channel"/>
    <x v="1"/>
    <m/>
    <n v="32"/>
    <s v="E9"/>
    <n v="450"/>
    <n v="133"/>
    <n v="58"/>
    <n v="0.77186963979416812"/>
    <n v="0.88582677165354329"/>
    <n v="0.82493125572868919"/>
  </r>
  <r>
    <x v="1"/>
    <s v="S13/S26_20190108_035218_3"/>
    <s v="all_channel"/>
    <x v="2"/>
    <s v="mean"/>
    <n v="32"/>
    <s v="E22"/>
    <n v="442"/>
    <n v="100"/>
    <n v="66"/>
    <n v="0.81549815498154976"/>
    <n v="0.87007874015748032"/>
    <n v="0.84190476190476182"/>
  </r>
  <r>
    <x v="1"/>
    <s v="S13/S26_20190108_035218_3"/>
    <s v="all_channel"/>
    <x v="3"/>
    <s v="median"/>
    <n v="32"/>
    <s v="E22"/>
    <n v="458"/>
    <n v="107"/>
    <n v="50"/>
    <n v="0.81061946902654869"/>
    <n v="0.90157480314960636"/>
    <n v="0.85368126747437101"/>
  </r>
  <r>
    <x v="1"/>
    <s v="S18/S31_20190115_035853"/>
    <s v="all_channel"/>
    <x v="0"/>
    <m/>
    <n v="32"/>
    <s v="E11"/>
    <n v="306"/>
    <n v="275"/>
    <n v="19"/>
    <n v="0.52667814113597244"/>
    <n v="0.94153846153846155"/>
    <n v="0.67549668874172186"/>
  </r>
  <r>
    <x v="1"/>
    <s v="S18/S31_20190115_035853"/>
    <s v="all_channel"/>
    <x v="1"/>
    <m/>
    <n v="32"/>
    <s v="E23"/>
    <n v="218"/>
    <n v="4"/>
    <n v="107"/>
    <n v="0.98198198198198205"/>
    <n v="0.67076923076923078"/>
    <n v="0.79707495429616082"/>
  </r>
  <r>
    <x v="1"/>
    <s v="S18/S31_20190115_035853"/>
    <s v="all_channel"/>
    <x v="2"/>
    <s v="mean"/>
    <n v="32"/>
    <s v="E22"/>
    <n v="312"/>
    <n v="29"/>
    <n v="13"/>
    <n v="0.91495601173020524"/>
    <n v="0.96"/>
    <n v="0.9369369369369368"/>
  </r>
  <r>
    <x v="1"/>
    <s v="S18/S31_20190115_035853"/>
    <s v="all_channel"/>
    <x v="3"/>
    <s v="median"/>
    <n v="32"/>
    <s v="E22"/>
    <n v="312"/>
    <n v="29"/>
    <n v="13"/>
    <n v="0.91495601173020524"/>
    <n v="0.96"/>
    <n v="0.9369369369369368"/>
  </r>
  <r>
    <x v="1"/>
    <s v="S1/S01_20170519_043933"/>
    <s v="all_channel"/>
    <x v="0"/>
    <m/>
    <n v="32"/>
    <s v="E124"/>
    <n v="133"/>
    <n v="272"/>
    <n v="5"/>
    <n v="0.328395061728395"/>
    <n v="0.96376811594202882"/>
    <n v="0.4898710865561694"/>
  </r>
  <r>
    <x v="1"/>
    <s v="S1/S01_20170519_043933"/>
    <s v="all_channel"/>
    <x v="1"/>
    <m/>
    <n v="32"/>
    <s v="E22"/>
    <n v="133"/>
    <n v="30"/>
    <n v="5"/>
    <n v="0.81595092024539873"/>
    <n v="0.96376811594202882"/>
    <n v="0.88372093023255793"/>
  </r>
  <r>
    <x v="1"/>
    <s v="S1/S01_20170519_043933"/>
    <s v="all_channel"/>
    <x v="2"/>
    <s v="mean"/>
    <n v="32"/>
    <s v="E9"/>
    <n v="137"/>
    <n v="31"/>
    <n v="1"/>
    <n v="0.81547619047619047"/>
    <n v="0.99275362318840576"/>
    <n v="0.89542483660130712"/>
  </r>
  <r>
    <x v="1"/>
    <s v="S1/S01_20170519_043933"/>
    <s v="all_channel"/>
    <x v="3"/>
    <s v="median"/>
    <n v="32"/>
    <s v="E3"/>
    <n v="125"/>
    <n v="16"/>
    <n v="13"/>
    <n v="0.88652482269503541"/>
    <n v="0.90579710144927539"/>
    <n v="0.89605734767025091"/>
  </r>
  <r>
    <x v="1"/>
    <s v="S1/S01_20170519_043933_2"/>
    <s v="all_channel"/>
    <x v="0"/>
    <m/>
    <n v="32"/>
    <s v="E3"/>
    <n v="169"/>
    <n v="250"/>
    <n v="6"/>
    <n v="0.40334128878281622"/>
    <n v="0.96571428571428564"/>
    <n v="0.56902356902356899"/>
  </r>
  <r>
    <x v="1"/>
    <s v="S1/S01_20170519_043933_2"/>
    <s v="all_channel"/>
    <x v="1"/>
    <m/>
    <n v="32"/>
    <s v="E9"/>
    <n v="163"/>
    <n v="32"/>
    <n v="12"/>
    <n v="0.83589743589743593"/>
    <n v="0.93142857142857138"/>
    <n v="0.88108108108108107"/>
  </r>
  <r>
    <x v="1"/>
    <s v="S1/S01_20170519_043933_2"/>
    <s v="all_channel"/>
    <x v="2"/>
    <s v="mean"/>
    <n v="32"/>
    <s v="E9"/>
    <n v="170"/>
    <n v="48"/>
    <n v="5"/>
    <n v="0.77981651376146788"/>
    <n v="0.97142857142857142"/>
    <n v="0.86513994910941472"/>
  </r>
  <r>
    <x v="1"/>
    <s v="S1/S01_20170519_043933_2"/>
    <s v="all_channel"/>
    <x v="3"/>
    <s v="median"/>
    <n v="32"/>
    <s v="E9"/>
    <n v="170"/>
    <n v="48"/>
    <n v="5"/>
    <n v="0.77981651376146788"/>
    <n v="0.97142857142857142"/>
    <n v="0.86513994910941472"/>
  </r>
  <r>
    <x v="1"/>
    <s v="S10/S23_20181226_042222"/>
    <s v="all_channel"/>
    <x v="0"/>
    <m/>
    <n v="32"/>
    <s v="E23"/>
    <n v="147"/>
    <n v="280"/>
    <n v="13"/>
    <n v="0.34426229508196721"/>
    <n v="0.91874999999999996"/>
    <n v="0.50085178875638836"/>
  </r>
  <r>
    <x v="1"/>
    <s v="S10/S23_20181226_042222"/>
    <s v="all_channel"/>
    <x v="1"/>
    <m/>
    <n v="32"/>
    <s v="E9"/>
    <n v="144"/>
    <n v="49"/>
    <n v="16"/>
    <n v="0.74611398963730569"/>
    <n v="0.9"/>
    <n v="0.81586402266288949"/>
  </r>
  <r>
    <x v="1"/>
    <s v="S10/S23_20181226_042222"/>
    <s v="all_channel"/>
    <x v="2"/>
    <s v="mean"/>
    <n v="32"/>
    <s v="E22"/>
    <n v="150"/>
    <n v="14"/>
    <n v="10"/>
    <n v="0.91463414634146345"/>
    <n v="0.9375"/>
    <n v="0.92592592592592604"/>
  </r>
  <r>
    <x v="1"/>
    <s v="S10/S23_20181226_042222"/>
    <s v="all_channel"/>
    <x v="3"/>
    <s v="median"/>
    <n v="32"/>
    <s v="E22"/>
    <n v="150"/>
    <n v="15"/>
    <n v="10"/>
    <n v="0.90909090909090917"/>
    <n v="0.9375"/>
    <n v="0.92307692307692302"/>
  </r>
  <r>
    <x v="1"/>
    <s v="S10/S23_20181226_042222_2"/>
    <s v="all_channel"/>
    <x v="0"/>
    <m/>
    <n v="32"/>
    <s v="E9"/>
    <n v="547"/>
    <n v="261"/>
    <n v="29"/>
    <n v="0.67698019801980203"/>
    <n v="0.94965277777777779"/>
    <n v="0.79046242774566466"/>
  </r>
  <r>
    <x v="1"/>
    <s v="S10/S23_20181226_042222_2"/>
    <s v="all_channel"/>
    <x v="1"/>
    <m/>
    <n v="32"/>
    <s v="E22"/>
    <n v="136"/>
    <n v="413"/>
    <n v="440"/>
    <n v="0.24772313296903459"/>
    <n v="0.2361111111111111"/>
    <n v="0.2417777777777777"/>
  </r>
  <r>
    <x v="1"/>
    <s v="S10/S23_20181226_042222_2"/>
    <s v="all_channel"/>
    <x v="2"/>
    <s v="mean"/>
    <n v="32"/>
    <s v="E9"/>
    <n v="493"/>
    <n v="44"/>
    <n v="83"/>
    <n v="0.91806331471135938"/>
    <n v="0.85590277777777779"/>
    <n v="0.88589398023360277"/>
  </r>
  <r>
    <x v="1"/>
    <s v="S10/S23_20181226_042222_2"/>
    <s v="all_channel"/>
    <x v="3"/>
    <s v="median"/>
    <n v="32"/>
    <s v="E9"/>
    <n v="497"/>
    <n v="44"/>
    <n v="79"/>
    <n v="0.91866913123844718"/>
    <n v="0.86284722222222221"/>
    <n v="0.88988361683079675"/>
  </r>
  <r>
    <x v="1"/>
    <s v="S12/S25_20190124_060024"/>
    <s v="all_channel"/>
    <x v="0"/>
    <m/>
    <n v="32"/>
    <s v="E24"/>
    <n v="493"/>
    <n v="75"/>
    <n v="36"/>
    <n v="0.86795774647887325"/>
    <n v="0.93194706994328924"/>
    <n v="0.89881494986326349"/>
  </r>
  <r>
    <x v="1"/>
    <s v="S12/S25_20190124_060024"/>
    <s v="all_channel"/>
    <x v="1"/>
    <m/>
    <n v="32"/>
    <s v="E22"/>
    <n v="514"/>
    <n v="28"/>
    <n v="15"/>
    <n v="0.94833948339483398"/>
    <n v="0.97164461247637035"/>
    <n v="0.95985060690943036"/>
  </r>
  <r>
    <x v="1"/>
    <s v="S12/S25_20190124_060024"/>
    <s v="all_channel"/>
    <x v="2"/>
    <s v="mean"/>
    <n v="32"/>
    <s v="E22"/>
    <n v="506"/>
    <n v="20"/>
    <n v="23"/>
    <n v="0.96197718631178719"/>
    <n v="0.95652173913043481"/>
    <n v="0.95924170616113735"/>
  </r>
  <r>
    <x v="1"/>
    <s v="S12/S25_20190124_060024"/>
    <s v="all_channel"/>
    <x v="3"/>
    <s v="median"/>
    <n v="32"/>
    <s v="E22"/>
    <n v="507"/>
    <n v="23"/>
    <n v="22"/>
    <n v="0.95660377358490556"/>
    <n v="0.9584120982986768"/>
    <n v="0.95750708215297442"/>
  </r>
  <r>
    <x v="1"/>
    <s v="S12/S25_20190124_060024_2"/>
    <s v="all_channel"/>
    <x v="0"/>
    <m/>
    <n v="32"/>
    <s v="E22"/>
    <n v="618"/>
    <n v="90"/>
    <n v="18"/>
    <n v="0.8728813559322034"/>
    <n v="0.97169811320754718"/>
    <n v="0.91964285714285721"/>
  </r>
  <r>
    <x v="1"/>
    <s v="S12/S25_20190124_060024_2"/>
    <s v="all_channel"/>
    <x v="1"/>
    <m/>
    <n v="32"/>
    <s v="E22"/>
    <n v="595"/>
    <n v="32"/>
    <n v="41"/>
    <n v="0.94896331738437001"/>
    <n v="0.9355345911949684"/>
    <n v="0.94220110847189242"/>
  </r>
  <r>
    <x v="1"/>
    <s v="S12/S25_20190124_060024_2"/>
    <s v="all_channel"/>
    <x v="2"/>
    <s v="mean"/>
    <n v="32"/>
    <s v="E22"/>
    <n v="605"/>
    <n v="30"/>
    <n v="31"/>
    <n v="0.952755905511811"/>
    <n v="0.95125786163521997"/>
    <n v="0.95200629425649075"/>
  </r>
  <r>
    <x v="1"/>
    <s v="S12/S25_20190124_060024_2"/>
    <s v="all_channel"/>
    <x v="3"/>
    <s v="median"/>
    <n v="32"/>
    <s v="E22"/>
    <n v="606"/>
    <n v="33"/>
    <n v="30"/>
    <n v="0.94835680751173723"/>
    <n v="0.95283018867924518"/>
    <n v="0.95058823529411762"/>
  </r>
  <r>
    <x v="1"/>
    <s v="S13/S26_20190108_035218"/>
    <s v="all_channel"/>
    <x v="0"/>
    <m/>
    <n v="32"/>
    <s v="E22"/>
    <n v="509"/>
    <n v="170"/>
    <n v="13"/>
    <n v="0.74963181148748159"/>
    <n v="0.97509578544061304"/>
    <n v="0.84762697751873439"/>
  </r>
  <r>
    <x v="1"/>
    <s v="S13/S26_20190108_035218"/>
    <s v="all_channel"/>
    <x v="1"/>
    <m/>
    <n v="32"/>
    <s v="E22"/>
    <n v="507"/>
    <n v="103"/>
    <n v="15"/>
    <n v="0.83114754098360655"/>
    <n v="0.97126436781609204"/>
    <n v="0.89575971731448767"/>
  </r>
  <r>
    <x v="1"/>
    <s v="S13/S26_20190108_035218"/>
    <s v="all_channel"/>
    <x v="2"/>
    <s v="mean"/>
    <n v="32"/>
    <s v="E22"/>
    <n v="495"/>
    <n v="33"/>
    <n v="27"/>
    <n v="0.9375"/>
    <n v="0.94827586206896564"/>
    <n v="0.94285714285714284"/>
  </r>
  <r>
    <x v="1"/>
    <s v="S13/S26_20190108_035218"/>
    <s v="all_channel"/>
    <x v="3"/>
    <s v="median"/>
    <n v="32"/>
    <s v="E22"/>
    <n v="498"/>
    <n v="34"/>
    <n v="24"/>
    <n v="0.93609022556390975"/>
    <n v="0.95402298850574718"/>
    <n v="0.94497153700189762"/>
  </r>
  <r>
    <x v="1"/>
    <s v="S18/S31_20190115_035853_2"/>
    <s v="all_channel"/>
    <x v="0"/>
    <m/>
    <n v="32"/>
    <s v="E9"/>
    <n v="324"/>
    <n v="302"/>
    <n v="131"/>
    <n v="0.51757188498402551"/>
    <n v="0.71208791208791211"/>
    <n v="0.59944495837187783"/>
  </r>
  <r>
    <x v="1"/>
    <s v="S18/S31_20190115_035853_2"/>
    <s v="all_channel"/>
    <x v="1"/>
    <m/>
    <n v="32"/>
    <s v="E9"/>
    <n v="439"/>
    <n v="34"/>
    <n v="16"/>
    <n v="0.92811839323467238"/>
    <n v="0.96483516483516485"/>
    <n v="0.94612068965517238"/>
  </r>
  <r>
    <x v="1"/>
    <s v="S18/S31_20190115_035853_2"/>
    <s v="all_channel"/>
    <x v="2"/>
    <s v="mean"/>
    <n v="32"/>
    <s v="E22"/>
    <n v="313"/>
    <n v="152"/>
    <n v="142"/>
    <n v="0.67311827956989245"/>
    <n v="0.68791208791208791"/>
    <n v="0.68043478260869561"/>
  </r>
  <r>
    <x v="1"/>
    <s v="S18/S31_20190115_035853_2"/>
    <s v="all_channel"/>
    <x v="3"/>
    <s v="median"/>
    <n v="32"/>
    <s v="E22"/>
    <n v="313"/>
    <n v="157"/>
    <n v="142"/>
    <n v="0.66595744680851066"/>
    <n v="0.68791208791208791"/>
    <n v="0.67675675675675684"/>
  </r>
  <r>
    <x v="1"/>
    <s v="S13/S26_20190108_035218_2"/>
    <s v="all_channel"/>
    <x v="0"/>
    <m/>
    <n v="32"/>
    <s v="E9"/>
    <n v="593"/>
    <n v="110"/>
    <n v="27"/>
    <n v="0.84352773826458038"/>
    <n v="0.95645161290322578"/>
    <n v="0.89644746787603935"/>
  </r>
  <r>
    <x v="1"/>
    <s v="S13/S26_20190108_035218_2"/>
    <s v="all_channel"/>
    <x v="1"/>
    <m/>
    <n v="32"/>
    <s v="E22"/>
    <n v="562"/>
    <n v="100"/>
    <n v="58"/>
    <n v="0.84894259818731121"/>
    <n v="0.90645161290322585"/>
    <n v="0.87675507020280818"/>
  </r>
  <r>
    <x v="1"/>
    <s v="S13/S26_20190108_035218_2"/>
    <s v="all_channel"/>
    <x v="2"/>
    <s v="mean"/>
    <n v="32"/>
    <s v="E22"/>
    <n v="531"/>
    <n v="71"/>
    <n v="89"/>
    <n v="0.88205980066445178"/>
    <n v="0.8564516129032258"/>
    <n v="0.86906710310965629"/>
  </r>
  <r>
    <x v="1"/>
    <s v="S13/S26_20190108_035218_2"/>
    <s v="all_channel"/>
    <x v="3"/>
    <s v="median"/>
    <n v="32"/>
    <s v="E22"/>
    <n v="542"/>
    <n v="76"/>
    <n v="78"/>
    <n v="0.87702265372168287"/>
    <n v="0.87419354838709673"/>
    <n v="0.87560581583198704"/>
  </r>
  <r>
    <x v="1"/>
    <s v="S16/S29_20190111_034326_3"/>
    <s v="all_channel"/>
    <x v="0"/>
    <m/>
    <n v="32"/>
    <s v="E9"/>
    <n v="1685"/>
    <n v="82"/>
    <n v="137"/>
    <n v="0.95359366157328795"/>
    <n v="0.92480790340285401"/>
    <n v="0.93898021733073278"/>
  </r>
  <r>
    <x v="1"/>
    <s v="S16/S29_20190111_034326_3"/>
    <s v="all_channel"/>
    <x v="1"/>
    <m/>
    <n v="32"/>
    <s v="E23"/>
    <n v="163"/>
    <n v="272"/>
    <n v="1659"/>
    <n v="0.37471264367816087"/>
    <n v="8.9462129527991194E-2"/>
    <n v="0.14443952148870179"/>
  </r>
  <r>
    <x v="1"/>
    <s v="S16/S29_20190111_034326_3"/>
    <s v="all_channel"/>
    <x v="2"/>
    <s v="mean"/>
    <n v="32"/>
    <s v="E9"/>
    <n v="548"/>
    <n v="35"/>
    <n v="1274"/>
    <n v="0.93996569468267577"/>
    <n v="0.300768386388584"/>
    <n v="0.4557172557172558"/>
  </r>
  <r>
    <x v="1"/>
    <s v="S16/S29_20190111_034326_3"/>
    <s v="all_channel"/>
    <x v="3"/>
    <s v="median"/>
    <n v="32"/>
    <s v="E9"/>
    <n v="800"/>
    <n v="52"/>
    <n v="1022"/>
    <n v="0.93896713615023475"/>
    <n v="0.43907793633369918"/>
    <n v="0.59835452505609577"/>
  </r>
  <r>
    <x v="1"/>
    <s v="S2/TEST_20170601_042544_3"/>
    <s v="all_channel"/>
    <x v="0"/>
    <m/>
    <n v="32"/>
    <s v="E3"/>
    <n v="250"/>
    <n v="389"/>
    <n v="8"/>
    <n v="0.3912363067292644"/>
    <n v="0.96899224806201545"/>
    <n v="0.55741360089186176"/>
  </r>
  <r>
    <x v="1"/>
    <s v="S2/TEST_20170601_042544_3"/>
    <s v="all_channel"/>
    <x v="1"/>
    <m/>
    <n v="32"/>
    <s v="E59"/>
    <n v="2"/>
    <n v="24"/>
    <n v="256"/>
    <n v="7.69230769230769E-2"/>
    <n v="7.7519379844960996E-3"/>
    <n v="1.4084507042253501E-2"/>
  </r>
  <r>
    <x v="1"/>
    <s v="S2/TEST_20170601_042544_3"/>
    <s v="all_channel"/>
    <x v="2"/>
    <s v="mean"/>
    <n v="32"/>
    <s v="E3"/>
    <n v="248"/>
    <n v="33"/>
    <n v="10"/>
    <n v="0.88256227758007122"/>
    <n v="0.96124031007751942"/>
    <n v="0.92022263450834885"/>
  </r>
  <r>
    <x v="1"/>
    <s v="S2/TEST_20170601_042544_3"/>
    <s v="all_channel"/>
    <x v="3"/>
    <s v="median"/>
    <n v="32"/>
    <s v="E3"/>
    <n v="248"/>
    <n v="36"/>
    <n v="10"/>
    <n v="0.87323943661971826"/>
    <n v="0.96124031007751942"/>
    <n v="0.91512915129151284"/>
  </r>
  <r>
    <x v="1"/>
    <s v="S18/S31_20190115_035853_3"/>
    <s v="all_channel"/>
    <x v="0"/>
    <m/>
    <n v="32"/>
    <s v="E9"/>
    <n v="481"/>
    <n v="191"/>
    <n v="2"/>
    <n v="0.71577380952380953"/>
    <n v="0.99585921325051763"/>
    <n v="0.83290043290043281"/>
  </r>
  <r>
    <x v="1"/>
    <s v="S18/S31_20190115_035853_3"/>
    <s v="all_channel"/>
    <x v="1"/>
    <m/>
    <n v="32"/>
    <s v="E22"/>
    <n v="477"/>
    <n v="11"/>
    <n v="6"/>
    <n v="0.97745901639344257"/>
    <n v="0.98757763975155277"/>
    <n v="0.98249227600411959"/>
  </r>
  <r>
    <x v="1"/>
    <s v="S18/S31_20190115_035853_3"/>
    <s v="all_channel"/>
    <x v="2"/>
    <s v="mean"/>
    <n v="32"/>
    <s v="E9"/>
    <n v="475"/>
    <n v="27"/>
    <n v="8"/>
    <n v="0.94621513944223123"/>
    <n v="0.9834368530020704"/>
    <n v="0.96446700507614203"/>
  </r>
  <r>
    <x v="1"/>
    <s v="S18/S31_20190115_035853_3"/>
    <s v="all_channel"/>
    <x v="3"/>
    <s v="median"/>
    <n v="32"/>
    <s v="E9"/>
    <n v="476"/>
    <n v="33"/>
    <n v="7"/>
    <n v="0.93516699410609039"/>
    <n v="0.98550724637681164"/>
    <n v="0.95967741935483875"/>
  </r>
  <r>
    <x v="1"/>
    <s v="S19/S32_20190116_041137_3"/>
    <s v="all_channel"/>
    <x v="0"/>
    <m/>
    <n v="32"/>
    <s v="E11"/>
    <n v="681"/>
    <n v="165"/>
    <n v="21"/>
    <n v="0.80496453900709219"/>
    <n v="0.97008547008546997"/>
    <n v="0.87984496124031009"/>
  </r>
  <r>
    <x v="1"/>
    <s v="S19/S32_20190116_041137_3"/>
    <s v="all_channel"/>
    <x v="1"/>
    <m/>
    <n v="32"/>
    <s v="E23"/>
    <n v="689"/>
    <n v="52"/>
    <n v="13"/>
    <n v="0.92982456140350878"/>
    <n v="0.98148148148148162"/>
    <n v="0.95495495495495497"/>
  </r>
  <r>
    <x v="1"/>
    <s v="S19/S32_20190116_041137_3"/>
    <s v="all_channel"/>
    <x v="2"/>
    <s v="mean"/>
    <n v="32"/>
    <s v="E22"/>
    <n v="689"/>
    <n v="35"/>
    <n v="13"/>
    <n v="0.95165745856353601"/>
    <n v="0.98148148148148162"/>
    <n v="0.96633941093969145"/>
  </r>
  <r>
    <x v="1"/>
    <s v="S19/S32_20190116_041137_3"/>
    <s v="all_channel"/>
    <x v="3"/>
    <s v="median"/>
    <n v="32"/>
    <s v="E23"/>
    <n v="686"/>
    <n v="34"/>
    <n v="16"/>
    <n v="0.95277777777777761"/>
    <n v="0.97720797720797725"/>
    <n v="0.9648382559774964"/>
  </r>
  <r>
    <x v="1"/>
    <s v="S2/TEST_20170601_042544"/>
    <s v="all_channel"/>
    <x v="0"/>
    <m/>
    <n v="32"/>
    <s v="E26"/>
    <n v="267"/>
    <n v="374"/>
    <n v="9"/>
    <n v="0.41653666146645868"/>
    <n v="0.96739130434782605"/>
    <n v="0.58233369683751368"/>
  </r>
  <r>
    <x v="1"/>
    <s v="S2/TEST_20170601_042544"/>
    <s v="all_channel"/>
    <x v="1"/>
    <m/>
    <n v="32"/>
    <s v="E9"/>
    <n v="250"/>
    <n v="28"/>
    <n v="26"/>
    <n v="0.89928057553956831"/>
    <n v="0.90579710144927539"/>
    <n v="0.90252707581227443"/>
  </r>
  <r>
    <x v="1"/>
    <s v="S2/TEST_20170601_042544"/>
    <s v="all_channel"/>
    <x v="2"/>
    <s v="mean"/>
    <n v="32"/>
    <s v="E3"/>
    <n v="263"/>
    <n v="67"/>
    <n v="13"/>
    <n v="0.79696969696969699"/>
    <n v="0.95289855072463758"/>
    <n v="0.86798679867986805"/>
  </r>
  <r>
    <x v="1"/>
    <s v="S2/TEST_20170601_042544"/>
    <s v="all_channel"/>
    <x v="3"/>
    <s v="median"/>
    <n v="32"/>
    <s v="E3"/>
    <n v="264"/>
    <n v="73"/>
    <n v="12"/>
    <n v="0.78338278931750738"/>
    <n v="0.95652173913043481"/>
    <n v="0.86133768352365414"/>
  </r>
  <r>
    <x v="1"/>
    <s v="S19/S32_20190116_041137"/>
    <s v="all_channel"/>
    <x v="0"/>
    <m/>
    <n v="32"/>
    <s v="E11"/>
    <n v="624"/>
    <n v="207"/>
    <n v="21"/>
    <n v="0.75090252707581229"/>
    <n v="0.96744186046511638"/>
    <n v="0.84552845528455278"/>
  </r>
  <r>
    <x v="1"/>
    <s v="S19/S32_20190116_041137"/>
    <s v="all_channel"/>
    <x v="1"/>
    <m/>
    <n v="32"/>
    <s v="E23"/>
    <n v="344"/>
    <n v="185"/>
    <n v="301"/>
    <n v="0.65028355387523629"/>
    <n v="0.53333333333333333"/>
    <n v="0.58603066439523011"/>
  </r>
  <r>
    <x v="1"/>
    <s v="S19/S32_20190116_041137"/>
    <s v="all_channel"/>
    <x v="2"/>
    <s v="mean"/>
    <n v="32"/>
    <s v="E22"/>
    <n v="626"/>
    <n v="13"/>
    <n v="19"/>
    <n v="0.9796557120500784"/>
    <n v="0.97054263565891485"/>
    <n v="0.97507788161993758"/>
  </r>
  <r>
    <x v="1"/>
    <s v="S19/S32_20190116_041137"/>
    <s v="all_channel"/>
    <x v="3"/>
    <s v="median"/>
    <n v="32"/>
    <s v="E22"/>
    <n v="626"/>
    <n v="14"/>
    <n v="19"/>
    <n v="0.97812500000000002"/>
    <n v="0.97054263565891485"/>
    <n v="0.97431906614786001"/>
  </r>
  <r>
    <x v="1"/>
    <s v="S2/TEST_20170601_042544_2"/>
    <s v="all_channel"/>
    <x v="0"/>
    <m/>
    <n v="32"/>
    <s v="E23"/>
    <n v="344"/>
    <n v="369"/>
    <n v="18"/>
    <n v="0.48246844319775589"/>
    <n v="0.95027624309392278"/>
    <n v="0.64"/>
  </r>
  <r>
    <x v="1"/>
    <s v="S2/TEST_20170601_042544_2"/>
    <s v="all_channel"/>
    <x v="1"/>
    <m/>
    <n v="32"/>
    <s v="E9"/>
    <n v="311"/>
    <n v="34"/>
    <n v="51"/>
    <n v="0.90144927536231878"/>
    <n v="0.85911602209944748"/>
    <n v="0.87977369165487973"/>
  </r>
  <r>
    <x v="1"/>
    <s v="S2/TEST_20170601_042544_2"/>
    <s v="all_channel"/>
    <x v="2"/>
    <s v="mean"/>
    <n v="32"/>
    <s v="E9"/>
    <n v="342"/>
    <n v="73"/>
    <n v="20"/>
    <n v="0.82409638554216869"/>
    <n v="0.94475138121546964"/>
    <n v="0.88030888030888033"/>
  </r>
  <r>
    <x v="1"/>
    <s v="S2/TEST_20170601_042544_2"/>
    <s v="all_channel"/>
    <x v="3"/>
    <s v="median"/>
    <n v="32"/>
    <s v="E9"/>
    <n v="342"/>
    <n v="79"/>
    <n v="20"/>
    <n v="0.81235154394299292"/>
    <n v="0.94475138121546964"/>
    <n v="0.87356321839080475"/>
  </r>
  <r>
    <x v="1"/>
    <s v="S19/S32_20190116_041137_2"/>
    <s v="all_channel"/>
    <x v="0"/>
    <m/>
    <n v="32"/>
    <s v="E22"/>
    <n v="771"/>
    <n v="191"/>
    <n v="16"/>
    <n v="0.80145530145530142"/>
    <n v="0.9796696315120712"/>
    <n v="0.88164665523156094"/>
  </r>
  <r>
    <x v="1"/>
    <s v="S19/S32_20190116_041137_2"/>
    <s v="all_channel"/>
    <x v="1"/>
    <m/>
    <n v="32"/>
    <s v="E23"/>
    <n v="773"/>
    <n v="16"/>
    <n v="14"/>
    <n v="0.97972116603295323"/>
    <n v="0.98221092757306239"/>
    <n v="0.980964467005076"/>
  </r>
  <r>
    <x v="1"/>
    <s v="S19/S32_20190116_041137_2"/>
    <s v="all_channel"/>
    <x v="2"/>
    <s v="mean"/>
    <n v="32"/>
    <s v="E22"/>
    <n v="771"/>
    <n v="20"/>
    <n v="16"/>
    <n v="0.97471554993678877"/>
    <n v="0.9796696315120712"/>
    <n v="0.97718631178707238"/>
  </r>
  <r>
    <x v="1"/>
    <s v="S19/S32_20190116_041137_2"/>
    <s v="all_channel"/>
    <x v="3"/>
    <s v="median"/>
    <n v="32"/>
    <s v="E22"/>
    <n v="772"/>
    <n v="23"/>
    <n v="15"/>
    <n v="0.97106918238993722"/>
    <n v="0.9809402795425668"/>
    <n v="0.9759797724399496"/>
  </r>
  <r>
    <x v="1"/>
    <s v="S16/S29_20190111_034326_2"/>
    <s v="all_channel"/>
    <x v="0"/>
    <m/>
    <n v="32"/>
    <s v="E9"/>
    <n v="1985"/>
    <n v="40"/>
    <n v="90"/>
    <n v="0.98024691358024696"/>
    <n v="0.95662650602409638"/>
    <n v="0.96829268292682924"/>
  </r>
  <r>
    <x v="1"/>
    <s v="S16/S29_20190111_034326_2"/>
    <s v="all_channel"/>
    <x v="1"/>
    <m/>
    <n v="32"/>
    <s v="E9"/>
    <n v="55"/>
    <n v="81"/>
    <n v="2020"/>
    <n v="0.4044117647058823"/>
    <n v="2.65060240963855E-2"/>
    <n v="4.9751243781094502E-2"/>
  </r>
  <r>
    <x v="1"/>
    <s v="S16/S29_20190111_034326_2"/>
    <s v="all_channel"/>
    <x v="2"/>
    <s v="mean"/>
    <n v="32"/>
    <s v="E9"/>
    <n v="1231"/>
    <n v="17"/>
    <n v="844"/>
    <n v="0.98637820512820518"/>
    <n v="0.59325301204819281"/>
    <n v="0.74089678001805592"/>
  </r>
  <r>
    <x v="1"/>
    <s v="S16/S29_20190111_034326_2"/>
    <s v="all_channel"/>
    <x v="3"/>
    <s v="median"/>
    <n v="32"/>
    <s v="E9"/>
    <n v="1600"/>
    <n v="21"/>
    <n v="475"/>
    <n v="0.98704503392967302"/>
    <n v="0.77108433734939763"/>
    <n v="0.86580086580086579"/>
  </r>
  <r>
    <x v="1"/>
    <s v="S22/S35_20190123_040805_2"/>
    <s v="all_channel"/>
    <x v="0"/>
    <m/>
    <n v="32"/>
    <s v="E9"/>
    <n v="545"/>
    <n v="428"/>
    <n v="74"/>
    <n v="0.56012332990750258"/>
    <n v="0.88045234248788373"/>
    <n v="0.68467336683417079"/>
  </r>
  <r>
    <x v="1"/>
    <s v="S22/S35_20190123_040805_2"/>
    <s v="all_channel"/>
    <x v="1"/>
    <m/>
    <n v="32"/>
    <s v="E22"/>
    <n v="13"/>
    <n v="7"/>
    <n v="606"/>
    <n v="0.65"/>
    <n v="2.10016155088853E-2"/>
    <n v="4.0688575899843503E-2"/>
  </r>
  <r>
    <x v="1"/>
    <s v="S22/S35_20190123_040805_2"/>
    <s v="all_channel"/>
    <x v="2"/>
    <s v="mean"/>
    <n v="32"/>
    <s v="E9"/>
    <n v="450"/>
    <n v="133"/>
    <n v="169"/>
    <n v="0.77186963979416812"/>
    <n v="0.72697899838449109"/>
    <n v="0.74875207986688852"/>
  </r>
  <r>
    <x v="1"/>
    <s v="S22/S35_20190123_040805_2"/>
    <s v="all_channel"/>
    <x v="3"/>
    <s v="median"/>
    <n v="32"/>
    <s v="E9"/>
    <n v="460"/>
    <n v="134"/>
    <n v="159"/>
    <n v="0.77441077441077444"/>
    <n v="0.74313408723747976"/>
    <n v="0.75845012366034636"/>
  </r>
  <r>
    <x v="1"/>
    <s v="S23/S36_20190125_040931"/>
    <s v="all_channel"/>
    <x v="0"/>
    <m/>
    <n v="32"/>
    <s v="E23"/>
    <n v="793"/>
    <n v="97"/>
    <n v="24"/>
    <n v="0.89101123595505616"/>
    <n v="0.97062423500612005"/>
    <n v="0.92911540714704155"/>
  </r>
  <r>
    <x v="1"/>
    <s v="S23/S36_20190125_040931"/>
    <s v="all_channel"/>
    <x v="1"/>
    <m/>
    <n v="32"/>
    <s v="E84"/>
    <n v="380"/>
    <n v="85"/>
    <n v="437"/>
    <n v="0.81720430107526887"/>
    <n v="0.46511627906976738"/>
    <n v="0.59282371294851799"/>
  </r>
  <r>
    <x v="1"/>
    <s v="S23/S36_20190125_040931"/>
    <s v="all_channel"/>
    <x v="2"/>
    <s v="mean"/>
    <n v="32"/>
    <s v="E22"/>
    <n v="792"/>
    <n v="7"/>
    <n v="25"/>
    <n v="0.99123904881101377"/>
    <n v="0.96940024479804165"/>
    <n v="0.9801980198019804"/>
  </r>
  <r>
    <x v="1"/>
    <s v="S23/S36_20190125_040931"/>
    <s v="all_channel"/>
    <x v="3"/>
    <s v="median"/>
    <n v="32"/>
    <s v="E22"/>
    <n v="794"/>
    <n v="9"/>
    <n v="23"/>
    <n v="0.98879202988792037"/>
    <n v="0.97184822521419845"/>
    <n v="0.98024691358024685"/>
  </r>
  <r>
    <x v="1"/>
    <s v="S23/S36_20190125_040931_2"/>
    <s v="all_channel"/>
    <x v="0"/>
    <m/>
    <n v="32"/>
    <s v="E22"/>
    <n v="839"/>
    <n v="199"/>
    <n v="32"/>
    <n v="0.80828516377649329"/>
    <n v="0.96326061997703805"/>
    <n v="0.87899423782084862"/>
  </r>
  <r>
    <x v="1"/>
    <s v="S23/S36_20190125_040931_2"/>
    <s v="all_channel"/>
    <x v="1"/>
    <m/>
    <n v="32"/>
    <s v="E47"/>
    <n v="110"/>
    <n v="209"/>
    <n v="761"/>
    <n v="0.34482758620689657"/>
    <n v="0.1262916188289322"/>
    <n v="0.18487394957983189"/>
  </r>
  <r>
    <x v="1"/>
    <s v="S23/S36_20190125_040931_2"/>
    <s v="all_channel"/>
    <x v="2"/>
    <s v="mean"/>
    <n v="32"/>
    <s v="E22"/>
    <n v="808"/>
    <n v="53"/>
    <n v="63"/>
    <n v="0.93844367015098717"/>
    <n v="0.92766934557979319"/>
    <n v="0.93302540415704383"/>
  </r>
  <r>
    <x v="1"/>
    <s v="S23/S36_20190125_040931_2"/>
    <s v="all_channel"/>
    <x v="3"/>
    <s v="median"/>
    <n v="32"/>
    <s v="E22"/>
    <n v="814"/>
    <n v="56"/>
    <n v="57"/>
    <n v="0.93563218390804603"/>
    <n v="0.93455797933409879"/>
    <n v="0.93509477311889722"/>
  </r>
  <r>
    <x v="1"/>
    <s v="S26/S39_20190130_052313_3"/>
    <s v="all_channel"/>
    <x v="0"/>
    <m/>
    <n v="32"/>
    <s v="E22"/>
    <n v="636"/>
    <n v="90"/>
    <n v="58"/>
    <n v="0.87603305785123964"/>
    <n v="0.91642651296829958"/>
    <n v="0.89577464788732397"/>
  </r>
  <r>
    <x v="1"/>
    <s v="S26/S39_20190130_052313_3"/>
    <s v="all_channel"/>
    <x v="1"/>
    <m/>
    <n v="32"/>
    <s v="E117"/>
    <n v="7"/>
    <n v="24"/>
    <n v="687"/>
    <n v="0.22580645161290319"/>
    <n v="1.00864553314121E-2"/>
    <n v="1.9310344827586201E-2"/>
  </r>
  <r>
    <x v="1"/>
    <s v="S26/S39_20190130_052313_3"/>
    <s v="all_channel"/>
    <x v="2"/>
    <s v="mean"/>
    <n v="32"/>
    <s v="E22"/>
    <n v="575"/>
    <n v="41"/>
    <n v="119"/>
    <n v="0.93344155844155841"/>
    <n v="0.82853025936599423"/>
    <n v="0.87786259541984735"/>
  </r>
  <r>
    <x v="1"/>
    <s v="S26/S39_20190130_052313_3"/>
    <s v="all_channel"/>
    <x v="3"/>
    <s v="median"/>
    <n v="32"/>
    <s v="E22"/>
    <n v="592"/>
    <n v="48"/>
    <n v="102"/>
    <n v="0.92500000000000004"/>
    <n v="0.85302593659942361"/>
    <n v="0.88755622188905536"/>
  </r>
  <r>
    <x v="1"/>
    <s v="S3/S03_20170605_033654_3"/>
    <s v="all_channel"/>
    <x v="0"/>
    <m/>
    <n v="32"/>
    <s v="E22"/>
    <n v="84"/>
    <n v="379"/>
    <n v="7"/>
    <n v="0.1814254859611231"/>
    <n v="0.92307692307692324"/>
    <n v="0.30324909747292422"/>
  </r>
  <r>
    <x v="1"/>
    <s v="S3/S03_20170605_033654_3"/>
    <s v="all_channel"/>
    <x v="1"/>
    <m/>
    <n v="32"/>
    <s v="E9"/>
    <n v="52"/>
    <n v="157"/>
    <n v="39"/>
    <n v="0.24880382775119611"/>
    <n v="0.5714285714285714"/>
    <n v="0.34666666666666668"/>
  </r>
  <r>
    <x v="1"/>
    <s v="S3/S03_20170605_033654_3"/>
    <s v="all_channel"/>
    <x v="2"/>
    <s v="mean"/>
    <n v="32"/>
    <s v="E22"/>
    <n v="74"/>
    <n v="60"/>
    <n v="17"/>
    <n v="0.55223880597014929"/>
    <n v="0.81318681318681318"/>
    <n v="0.65777777777777779"/>
  </r>
  <r>
    <x v="1"/>
    <s v="S3/S03_20170605_033654_3"/>
    <s v="all_channel"/>
    <x v="3"/>
    <s v="median"/>
    <n v="32"/>
    <s v="E22"/>
    <n v="74"/>
    <n v="62"/>
    <n v="17"/>
    <n v="0.54411764705882348"/>
    <n v="0.81318681318681318"/>
    <n v="0.65198237885462551"/>
  </r>
  <r>
    <x v="1"/>
    <s v="S3/S03_20170605_033654"/>
    <s v="all_channel"/>
    <x v="0"/>
    <m/>
    <n v="32"/>
    <s v="E23"/>
    <n v="54"/>
    <n v="316"/>
    <n v="3"/>
    <n v="0.1459459459459459"/>
    <n v="0.94736842105263164"/>
    <n v="0.25292740046838408"/>
  </r>
  <r>
    <x v="1"/>
    <s v="S3/S03_20170605_033654"/>
    <s v="all_channel"/>
    <x v="1"/>
    <m/>
    <n v="32"/>
    <s v="E9"/>
    <n v="54"/>
    <n v="154"/>
    <n v="3"/>
    <n v="0.25961538461538458"/>
    <n v="0.94736842105263164"/>
    <n v="0.40754716981132078"/>
  </r>
  <r>
    <x v="1"/>
    <s v="S3/S03_20170605_033654"/>
    <s v="all_channel"/>
    <x v="2"/>
    <s v="mean"/>
    <n v="32"/>
    <s v="E3"/>
    <n v="54"/>
    <n v="24"/>
    <n v="3"/>
    <n v="0.69230769230769229"/>
    <n v="0.94736842105263164"/>
    <n v="0.79999999999999993"/>
  </r>
  <r>
    <x v="1"/>
    <s v="S3/S03_20170605_033654"/>
    <s v="all_channel"/>
    <x v="3"/>
    <s v="median"/>
    <n v="32"/>
    <s v="E3"/>
    <n v="54"/>
    <n v="24"/>
    <n v="3"/>
    <n v="0.69230769230769229"/>
    <n v="0.94736842105263164"/>
    <n v="0.79999999999999993"/>
  </r>
  <r>
    <x v="1"/>
    <s v="S23/S36_20190125_040931_3"/>
    <s v="all_channel"/>
    <x v="0"/>
    <m/>
    <n v="32"/>
    <s v="E22"/>
    <n v="922"/>
    <n v="276"/>
    <n v="32"/>
    <n v="0.76961602671118534"/>
    <n v="0.96645702306079662"/>
    <n v="0.85687732342007439"/>
  </r>
  <r>
    <x v="1"/>
    <s v="S23/S36_20190125_040931_3"/>
    <s v="all_channel"/>
    <x v="1"/>
    <m/>
    <n v="32"/>
    <s v="E37"/>
    <n v="63"/>
    <n v="457"/>
    <n v="891"/>
    <n v="0.1211538461538461"/>
    <n v="6.6037735849056603E-2"/>
    <n v="8.54816824966078E-2"/>
  </r>
  <r>
    <x v="1"/>
    <s v="S23/S36_20190125_040931_3"/>
    <s v="all_channel"/>
    <x v="2"/>
    <s v="mean"/>
    <n v="32"/>
    <s v="E22"/>
    <n v="831"/>
    <n v="125"/>
    <n v="123"/>
    <n v="0.86924686192468614"/>
    <n v="0.87106918238993714"/>
    <n v="0.87015706806282722"/>
  </r>
  <r>
    <x v="1"/>
    <s v="S23/S36_20190125_040931_3"/>
    <s v="all_channel"/>
    <x v="3"/>
    <s v="median"/>
    <n v="32"/>
    <s v="E22"/>
    <n v="851"/>
    <n v="131"/>
    <n v="103"/>
    <n v="0.86659877800407337"/>
    <n v="0.89203354297693915"/>
    <n v="0.87913223140495866"/>
  </r>
  <r>
    <x v="1"/>
    <s v="S24/S38_20190129_035118_3"/>
    <s v="all_channel"/>
    <x v="0"/>
    <m/>
    <n v="32"/>
    <s v="E22"/>
    <n v="819"/>
    <n v="109"/>
    <n v="45"/>
    <n v="0.88254310344827591"/>
    <n v="0.94791666666666663"/>
    <n v="0.9140625"/>
  </r>
  <r>
    <x v="1"/>
    <s v="S24/S38_20190129_035118_3"/>
    <s v="all_channel"/>
    <x v="1"/>
    <m/>
    <n v="32"/>
    <s v="E3"/>
    <n v="781"/>
    <n v="221"/>
    <n v="83"/>
    <n v="0.779441117764471"/>
    <n v="0.90393518518518523"/>
    <n v="0.83708467309753487"/>
  </r>
  <r>
    <x v="1"/>
    <s v="S24/S38_20190129_035118_3"/>
    <s v="all_channel"/>
    <x v="2"/>
    <s v="mean"/>
    <n v="32"/>
    <s v="E22"/>
    <n v="516"/>
    <n v="40"/>
    <n v="348"/>
    <n v="0.92805755395683442"/>
    <n v="0.59722222222222221"/>
    <n v="0.72676056338028161"/>
  </r>
  <r>
    <x v="1"/>
    <s v="S24/S38_20190129_035118_3"/>
    <s v="all_channel"/>
    <x v="3"/>
    <s v="median"/>
    <n v="32"/>
    <s v="E22"/>
    <n v="572"/>
    <n v="60"/>
    <n v="292"/>
    <n v="0.90506329113924056"/>
    <n v="0.66203703703703709"/>
    <n v="0.76470588235294112"/>
  </r>
  <r>
    <x v="1"/>
    <s v="S3/S03_20170605_033654_2"/>
    <s v="all_channel"/>
    <x v="0"/>
    <m/>
    <n v="32"/>
    <s v="E22"/>
    <n v="91"/>
    <n v="344"/>
    <n v="2"/>
    <n v="0.2091954022988505"/>
    <n v="0.978494623655914"/>
    <n v="0.34469696969696972"/>
  </r>
  <r>
    <x v="1"/>
    <s v="S3/S03_20170605_033654_2"/>
    <s v="all_channel"/>
    <x v="1"/>
    <m/>
    <n v="32"/>
    <s v="E9"/>
    <n v="91"/>
    <n v="351"/>
    <n v="2"/>
    <n v="0.20588235294117641"/>
    <n v="0.978494623655914"/>
    <n v="0.34018691588785049"/>
  </r>
  <r>
    <x v="1"/>
    <s v="S3/S03_20170605_033654_2"/>
    <s v="all_channel"/>
    <x v="2"/>
    <s v="mean"/>
    <n v="32"/>
    <s v="E9"/>
    <n v="92"/>
    <n v="17"/>
    <n v="1"/>
    <n v="0.84403669724770647"/>
    <n v="0.989247311827957"/>
    <n v="0.91089108910891081"/>
  </r>
  <r>
    <x v="1"/>
    <s v="S3/S03_20170605_033654_2"/>
    <s v="all_channel"/>
    <x v="3"/>
    <s v="median"/>
    <n v="32"/>
    <s v="E9"/>
    <n v="92"/>
    <n v="19"/>
    <n v="1"/>
    <n v="0.8288288288288288"/>
    <n v="0.989247311827957"/>
    <n v="0.90196078431372539"/>
  </r>
  <r>
    <x v="1"/>
    <s v="S4/S04_20170606_045500"/>
    <s v="all_channel"/>
    <x v="0"/>
    <m/>
    <n v="32"/>
    <s v="E9"/>
    <n v="563"/>
    <n v="157"/>
    <n v="10"/>
    <n v="0.78194444444444444"/>
    <n v="0.98254799301919715"/>
    <n v="0.87084300077339527"/>
  </r>
  <r>
    <x v="1"/>
    <s v="S4/S04_20170606_045500"/>
    <s v="all_channel"/>
    <x v="1"/>
    <m/>
    <n v="32"/>
    <s v="E9"/>
    <n v="513"/>
    <n v="10"/>
    <n v="60"/>
    <n v="0.98087954110898656"/>
    <n v="0.89528795811518325"/>
    <n v="0.93613138686131403"/>
  </r>
  <r>
    <x v="1"/>
    <s v="S4/S04_20170606_045500"/>
    <s v="all_channel"/>
    <x v="2"/>
    <s v="mean"/>
    <n v="32"/>
    <s v="E9"/>
    <n v="553"/>
    <n v="16"/>
    <n v="20"/>
    <n v="0.97188049209138838"/>
    <n v="0.96509598603839442"/>
    <n v="0.96847635726795078"/>
  </r>
  <r>
    <x v="1"/>
    <s v="S4/S04_20170606_045500"/>
    <s v="all_channel"/>
    <x v="3"/>
    <s v="median"/>
    <n v="32"/>
    <s v="E9"/>
    <n v="556"/>
    <n v="17"/>
    <n v="17"/>
    <n v="0.9703315881326352"/>
    <n v="0.9703315881326352"/>
    <n v="0.9703315881326352"/>
  </r>
  <r>
    <x v="1"/>
    <s v="S5/S05_20170607_032937_3"/>
    <s v="all_channel"/>
    <x v="0"/>
    <m/>
    <n v="32"/>
    <s v="E9"/>
    <n v="407"/>
    <n v="77"/>
    <n v="3"/>
    <n v="0.84090909090909094"/>
    <n v="0.9926829268292684"/>
    <n v="0.91051454138702481"/>
  </r>
  <r>
    <x v="1"/>
    <s v="S5/S05_20170607_032937_3"/>
    <s v="all_channel"/>
    <x v="1"/>
    <m/>
    <n v="32"/>
    <s v="E9"/>
    <n v="403"/>
    <n v="49"/>
    <n v="7"/>
    <n v="0.8915929203539823"/>
    <n v="0.98292682926829278"/>
    <n v="0.9350348027842228"/>
  </r>
  <r>
    <x v="1"/>
    <s v="S5/S05_20170607_032937_3"/>
    <s v="all_channel"/>
    <x v="2"/>
    <s v="mean"/>
    <n v="32"/>
    <s v="E9"/>
    <n v="397"/>
    <n v="31"/>
    <n v="13"/>
    <n v="0.92757009345794394"/>
    <n v="0.96829268292682924"/>
    <n v="0.94749403341288785"/>
  </r>
  <r>
    <x v="1"/>
    <s v="S5/S05_20170607_032937_3"/>
    <s v="all_channel"/>
    <x v="3"/>
    <s v="median"/>
    <n v="32"/>
    <s v="E9"/>
    <n v="400"/>
    <n v="34"/>
    <n v="10"/>
    <n v="0.92165898617511521"/>
    <n v="0.97560975609756095"/>
    <n v="0.94786729857819896"/>
  </r>
  <r>
    <x v="1"/>
    <s v="S4/S04_20170606_045500_2"/>
    <s v="all_channel"/>
    <x v="0"/>
    <m/>
    <n v="32"/>
    <s v="E9"/>
    <n v="781"/>
    <n v="111"/>
    <n v="16"/>
    <n v="0.87556053811659196"/>
    <n v="0.97992471769134237"/>
    <n v="0.92480757844878625"/>
  </r>
  <r>
    <x v="1"/>
    <s v="S4/S04_20170606_045500_2"/>
    <s v="all_channel"/>
    <x v="1"/>
    <m/>
    <n v="32"/>
    <s v="E117"/>
    <n v="452"/>
    <n v="2582"/>
    <n v="345"/>
    <n v="0.14897824653922209"/>
    <n v="0.56712672521957341"/>
    <n v="0.23596972069955621"/>
  </r>
  <r>
    <x v="1"/>
    <s v="S4/S04_20170606_045500_2"/>
    <s v="all_channel"/>
    <x v="2"/>
    <s v="mean"/>
    <n v="32"/>
    <s v="E9"/>
    <n v="744"/>
    <n v="28"/>
    <n v="53"/>
    <n v="0.9637305699481864"/>
    <n v="0.933500627352572"/>
    <n v="0.94837476099426399"/>
  </r>
  <r>
    <x v="1"/>
    <s v="S4/S04_20170606_045500_2"/>
    <s v="all_channel"/>
    <x v="3"/>
    <s v="median"/>
    <n v="32"/>
    <s v="E9"/>
    <n v="753"/>
    <n v="32"/>
    <n v="44"/>
    <n v="0.95923566878980882"/>
    <n v="0.94479297365119197"/>
    <n v="0.95195954487989876"/>
  </r>
  <r>
    <x v="1"/>
    <s v="S6/S06_20170817_034716_3"/>
    <s v="all_channel"/>
    <x v="0"/>
    <m/>
    <n v="32"/>
    <s v="E124"/>
    <n v="282"/>
    <n v="280"/>
    <n v="24"/>
    <n v="0.50177935943060503"/>
    <n v="0.92156862745098045"/>
    <n v="0.64976958525345618"/>
  </r>
  <r>
    <x v="1"/>
    <s v="S6/S06_20170817_034716_3"/>
    <s v="all_channel"/>
    <x v="1"/>
    <m/>
    <n v="32"/>
    <s v="E9"/>
    <n v="295"/>
    <n v="69"/>
    <n v="11"/>
    <n v="0.81043956043956045"/>
    <n v="0.96405228758169936"/>
    <n v="0.88059701492537312"/>
  </r>
  <r>
    <x v="1"/>
    <s v="S6/S06_20170817_034716_3"/>
    <s v="all_channel"/>
    <x v="2"/>
    <s v="mean"/>
    <n v="32"/>
    <s v="E22"/>
    <n v="295"/>
    <n v="62"/>
    <n v="11"/>
    <n v="0.8263305322128851"/>
    <n v="0.96405228758169936"/>
    <n v="0.88989441930618407"/>
  </r>
  <r>
    <x v="1"/>
    <s v="S6/S06_20170817_034716_3"/>
    <s v="all_channel"/>
    <x v="3"/>
    <s v="median"/>
    <n v="32"/>
    <s v="E22"/>
    <n v="296"/>
    <n v="69"/>
    <n v="10"/>
    <n v="0.81095890410958904"/>
    <n v="0.96732026143790839"/>
    <n v="0.8822652757078987"/>
  </r>
  <r>
    <x v="1"/>
    <s v="S24/S38_20190129_035118"/>
    <s v="all_channel"/>
    <x v="0"/>
    <m/>
    <n v="32"/>
    <s v="E9"/>
    <n v="1165"/>
    <n v="103"/>
    <n v="59"/>
    <n v="0.91876971608832803"/>
    <n v="0.95179738562091498"/>
    <n v="0.93499197431781678"/>
  </r>
  <r>
    <x v="1"/>
    <s v="S24/S38_20190129_035118"/>
    <s v="all_channel"/>
    <x v="1"/>
    <m/>
    <n v="32"/>
    <s v="E9"/>
    <n v="1092"/>
    <n v="64"/>
    <n v="132"/>
    <n v="0.94463667820069197"/>
    <n v="0.89215686274509809"/>
    <n v="0.91764705882352959"/>
  </r>
  <r>
    <x v="1"/>
    <s v="S24/S38_20190129_035118"/>
    <s v="all_channel"/>
    <x v="2"/>
    <s v="mean"/>
    <n v="32"/>
    <s v="E9"/>
    <n v="785"/>
    <n v="32"/>
    <n v="439"/>
    <n v="0.96083231334149322"/>
    <n v="0.6413398692810458"/>
    <n v="0.76923076923076927"/>
  </r>
  <r>
    <x v="1"/>
    <s v="S24/S38_20190129_035118"/>
    <s v="all_channel"/>
    <x v="3"/>
    <s v="median"/>
    <n v="32"/>
    <s v="E9"/>
    <n v="855"/>
    <n v="36"/>
    <n v="369"/>
    <n v="0.95959595959595956"/>
    <n v="0.69852941176470584"/>
    <n v="0.80851063829787229"/>
  </r>
  <r>
    <x v="1"/>
    <s v="S5/S05_20170607_032937"/>
    <s v="all_channel"/>
    <x v="0"/>
    <m/>
    <n v="32"/>
    <s v="E3"/>
    <n v="305"/>
    <n v="183"/>
    <n v="10"/>
    <n v="0.625"/>
    <n v="0.96825396825396837"/>
    <n v="0.759651307596513"/>
  </r>
  <r>
    <x v="1"/>
    <s v="S5/S05_20170607_032937"/>
    <s v="all_channel"/>
    <x v="1"/>
    <m/>
    <n v="32"/>
    <s v="E9"/>
    <n v="306"/>
    <n v="42"/>
    <n v="9"/>
    <n v="0.87931034482758619"/>
    <n v="0.97142857142857142"/>
    <n v="0.92307692307692302"/>
  </r>
  <r>
    <x v="1"/>
    <s v="S5/S05_20170607_032937"/>
    <s v="all_channel"/>
    <x v="2"/>
    <s v="mean"/>
    <n v="32"/>
    <s v="E22"/>
    <n v="305"/>
    <n v="37"/>
    <n v="10"/>
    <n v="0.89181286549707606"/>
    <n v="0.96825396825396837"/>
    <n v="0.92846270928462704"/>
  </r>
  <r>
    <x v="1"/>
    <s v="S5/S05_20170607_032937"/>
    <s v="all_channel"/>
    <x v="3"/>
    <s v="median"/>
    <n v="32"/>
    <s v="E9"/>
    <n v="305"/>
    <n v="37"/>
    <n v="10"/>
    <n v="0.89181286549707606"/>
    <n v="0.96825396825396837"/>
    <n v="0.92846270928462704"/>
  </r>
  <r>
    <x v="1"/>
    <s v="S24/S38_20190129_035118_2"/>
    <s v="all_channel"/>
    <x v="0"/>
    <m/>
    <n v="32"/>
    <s v="E9"/>
    <n v="1026"/>
    <n v="157"/>
    <n v="91"/>
    <n v="0.86728655959425194"/>
    <n v="0.91853178155774395"/>
    <n v="0.89217391304347826"/>
  </r>
  <r>
    <x v="1"/>
    <s v="S24/S38_20190129_035118_2"/>
    <s v="all_channel"/>
    <x v="1"/>
    <m/>
    <n v="32"/>
    <s v="E22"/>
    <n v="1012"/>
    <n v="196"/>
    <n v="105"/>
    <n v="0.83774834437086088"/>
    <n v="0.90599820948970455"/>
    <n v="0.8705376344086021"/>
  </r>
  <r>
    <x v="1"/>
    <s v="S24/S38_20190129_035118_2"/>
    <s v="all_channel"/>
    <x v="2"/>
    <s v="mean"/>
    <n v="32"/>
    <s v="E9"/>
    <n v="570"/>
    <n v="25"/>
    <n v="547"/>
    <n v="0.95798319327731096"/>
    <n v="0.51029543419874668"/>
    <n v="0.66588785046728982"/>
  </r>
  <r>
    <x v="1"/>
    <s v="S24/S38_20190129_035118_2"/>
    <s v="all_channel"/>
    <x v="3"/>
    <s v="median"/>
    <n v="32"/>
    <s v="E9"/>
    <n v="625"/>
    <n v="34"/>
    <n v="492"/>
    <n v="0.94840667678300439"/>
    <n v="0.55953446732318712"/>
    <n v="0.7038288288288288"/>
  </r>
  <r>
    <x v="1"/>
    <s v="S5/S05_20170607_032937_2"/>
    <s v="all_channel"/>
    <x v="0"/>
    <m/>
    <n v="32"/>
    <s v="E9"/>
    <n v="514"/>
    <n v="102"/>
    <n v="10"/>
    <n v="0.83441558441558439"/>
    <n v="0.98091603053435117"/>
    <n v="0.90175438596491242"/>
  </r>
  <r>
    <x v="1"/>
    <s v="S5/S05_20170607_032937_2"/>
    <s v="all_channel"/>
    <x v="1"/>
    <m/>
    <n v="32"/>
    <s v="E22"/>
    <n v="502"/>
    <n v="82"/>
    <n v="22"/>
    <n v="0.8595890410958904"/>
    <n v="0.95801526717557239"/>
    <n v="0.90613718411552358"/>
  </r>
  <r>
    <x v="1"/>
    <s v="S5/S05_20170607_032937_2"/>
    <s v="all_channel"/>
    <x v="2"/>
    <s v="mean"/>
    <n v="32"/>
    <s v="E9"/>
    <n v="507"/>
    <n v="34"/>
    <n v="17"/>
    <n v="0.93715341959334564"/>
    <n v="0.96755725190839681"/>
    <n v="0.95211267605633798"/>
  </r>
  <r>
    <x v="1"/>
    <s v="S5/S05_20170607_032937_2"/>
    <s v="all_channel"/>
    <x v="3"/>
    <s v="median"/>
    <n v="32"/>
    <s v="E9"/>
    <n v="509"/>
    <n v="38"/>
    <n v="15"/>
    <n v="0.93053016453382076"/>
    <n v="0.97137404580152675"/>
    <n v="0.95051353874883282"/>
  </r>
  <r>
    <x v="1"/>
    <s v="S6/S06_20170817_034716"/>
    <s v="all_channel"/>
    <x v="0"/>
    <m/>
    <n v="32"/>
    <s v="E124"/>
    <n v="300"/>
    <n v="348"/>
    <n v="51"/>
    <n v="0.46296296296296291"/>
    <n v="0.85470085470085466"/>
    <n v="0.60060060060060061"/>
  </r>
  <r>
    <x v="1"/>
    <s v="S6/S06_20170817_034716"/>
    <s v="all_channel"/>
    <x v="1"/>
    <m/>
    <n v="32"/>
    <s v="E9"/>
    <n v="320"/>
    <n v="46"/>
    <n v="31"/>
    <n v="0.87431693989071035"/>
    <n v="0.91168091168091159"/>
    <n v="0.89260808926080881"/>
  </r>
  <r>
    <x v="1"/>
    <s v="S6/S06_20170817_034716"/>
    <s v="all_channel"/>
    <x v="2"/>
    <s v="mean"/>
    <n v="32"/>
    <s v="E9"/>
    <n v="324"/>
    <n v="63"/>
    <n v="27"/>
    <n v="0.83720930232558144"/>
    <n v="0.92307692307692324"/>
    <n v="0.87804878048780499"/>
  </r>
  <r>
    <x v="1"/>
    <s v="S6/S06_20170817_034716"/>
    <s v="all_channel"/>
    <x v="3"/>
    <s v="median"/>
    <n v="32"/>
    <s v="E9"/>
    <n v="325"/>
    <n v="69"/>
    <n v="26"/>
    <n v="0.82487309644670048"/>
    <n v="0.92592592592592604"/>
    <n v="0.87248322147651003"/>
  </r>
  <r>
    <x v="1"/>
    <s v="S6/S06_20170817_034716_2"/>
    <s v="all_channel"/>
    <x v="0"/>
    <m/>
    <n v="32"/>
    <s v="E11"/>
    <n v="431"/>
    <n v="349"/>
    <n v="31"/>
    <n v="0.5525641025641026"/>
    <n v="0.93290043290043279"/>
    <n v="0.69404186795491141"/>
  </r>
  <r>
    <x v="1"/>
    <s v="S6/S06_20170817_034716_2"/>
    <s v="all_channel"/>
    <x v="1"/>
    <m/>
    <n v="32"/>
    <s v="E9"/>
    <n v="439"/>
    <n v="51"/>
    <n v="23"/>
    <n v="0.89591836734693875"/>
    <n v="0.95021645021645018"/>
    <n v="0.92226890756302515"/>
  </r>
  <r>
    <x v="1"/>
    <s v="S6/S06_20170817_034716_2"/>
    <s v="all_channel"/>
    <x v="2"/>
    <s v="mean"/>
    <n v="32"/>
    <s v="E22"/>
    <n v="445"/>
    <n v="77"/>
    <n v="17"/>
    <n v="0.85249042145593867"/>
    <n v="0.96320346320346317"/>
    <n v="0.90447154471544722"/>
  </r>
  <r>
    <x v="1"/>
    <s v="S6/S06_20170817_034716_2"/>
    <s v="all_channel"/>
    <x v="3"/>
    <s v="median"/>
    <n v="32"/>
    <s v="E22"/>
    <n v="448"/>
    <n v="89"/>
    <n v="14"/>
    <n v="0.83426443202979517"/>
    <n v="0.96969696969696961"/>
    <n v="0.89689689689689689"/>
  </r>
  <r>
    <x v="1"/>
    <s v="S4/S04_20170606_045500_3"/>
    <s v="all_channel"/>
    <x v="0"/>
    <m/>
    <n v="32"/>
    <s v="E9"/>
    <n v="1226"/>
    <n v="45"/>
    <n v="10"/>
    <n v="0.96459480723839497"/>
    <n v="0.99190938511326865"/>
    <n v="0.97806142800159557"/>
  </r>
  <r>
    <x v="1"/>
    <s v="S4/S04_20170606_045500_3"/>
    <s v="all_channel"/>
    <x v="1"/>
    <m/>
    <n v="32"/>
    <s v="E9"/>
    <n v="906"/>
    <n v="18"/>
    <n v="330"/>
    <n v="0.98051948051948057"/>
    <n v="0.73300970873786409"/>
    <n v="0.83888888888888891"/>
  </r>
  <r>
    <x v="1"/>
    <s v="S4/S04_20170606_045500_3"/>
    <s v="all_channel"/>
    <x v="2"/>
    <s v="mean"/>
    <n v="32"/>
    <s v="E9"/>
    <n v="1203"/>
    <n v="35"/>
    <n v="33"/>
    <n v="0.97172859450726978"/>
    <n v="0.97330097087378642"/>
    <n v="0.97251414713015361"/>
  </r>
  <r>
    <x v="1"/>
    <s v="S4/S04_20170606_045500_3"/>
    <s v="all_channel"/>
    <x v="3"/>
    <s v="median"/>
    <n v="32"/>
    <s v="E9"/>
    <n v="1212"/>
    <n v="38"/>
    <n v="24"/>
    <n v="0.96960000000000002"/>
    <n v="0.98058252427184478"/>
    <n v="0.97506033789219637"/>
  </r>
  <r>
    <x v="1"/>
    <s v="S21/S34_20190122_044130_3"/>
    <s v="all_channel"/>
    <x v="0"/>
    <m/>
    <n v="32"/>
    <s v="E22"/>
    <n v="1863"/>
    <n v="5"/>
    <n v="6"/>
    <n v="0.99732334047109195"/>
    <n v="0.9967897271268058"/>
    <n v="0.99705646240299717"/>
  </r>
  <r>
    <x v="1"/>
    <s v="S21/S34_20190122_044130_3"/>
    <s v="all_channel"/>
    <x v="1"/>
    <m/>
    <n v="32"/>
    <s v="E22"/>
    <n v="1862"/>
    <n v="18"/>
    <n v="7"/>
    <n v="0.99042553191489358"/>
    <n v="0.99625468164793995"/>
    <n v="0.99333155508135496"/>
  </r>
  <r>
    <x v="1"/>
    <s v="S21/S34_20190122_044130_3"/>
    <s v="all_channel"/>
    <x v="2"/>
    <s v="mean"/>
    <n v="32"/>
    <s v="E22"/>
    <n v="1827"/>
    <n v="2"/>
    <n v="42"/>
    <n v="0.99890650628758881"/>
    <n v="0.97752808988764039"/>
    <n v="0.98810167658193615"/>
  </r>
  <r>
    <x v="1"/>
    <s v="S21/S34_20190122_044130_3"/>
    <s v="all_channel"/>
    <x v="3"/>
    <s v="median"/>
    <n v="32"/>
    <s v="E22"/>
    <n v="1849"/>
    <n v="1"/>
    <n v="20"/>
    <n v="0.99945945945945958"/>
    <n v="0.98929909042268604"/>
    <n v="0.99435332078515715"/>
  </r>
  <r>
    <x v="1"/>
    <s v="S21/S34_20190122_044130"/>
    <s v="all_channel"/>
    <x v="0"/>
    <m/>
    <n v="32"/>
    <s v="E9"/>
    <n v="1923"/>
    <n v="25"/>
    <n v="12"/>
    <n v="0.98716632443531838"/>
    <n v="0.99379844961240305"/>
    <n v="0.99047128508884885"/>
  </r>
  <r>
    <x v="1"/>
    <s v="S21/S34_20190122_044130"/>
    <s v="all_channel"/>
    <x v="1"/>
    <m/>
    <n v="32"/>
    <s v="E9"/>
    <n v="1923"/>
    <n v="25"/>
    <n v="12"/>
    <n v="0.98716632443531838"/>
    <n v="0.99379844961240305"/>
    <n v="0.99047128508884885"/>
  </r>
  <r>
    <x v="1"/>
    <s v="S21/S34_20190122_044130"/>
    <s v="all_channel"/>
    <x v="2"/>
    <s v="mean"/>
    <n v="32"/>
    <s v="E9"/>
    <n v="1902"/>
    <n v="7"/>
    <n v="33"/>
    <n v="0.99633315872184403"/>
    <n v="0.98294573643410843"/>
    <n v="0.98959417273673278"/>
  </r>
  <r>
    <x v="1"/>
    <s v="S21/S34_20190122_044130"/>
    <s v="all_channel"/>
    <x v="3"/>
    <s v="median"/>
    <n v="32"/>
    <s v="E9"/>
    <n v="1919"/>
    <n v="10"/>
    <n v="16"/>
    <n v="0.99481596682218765"/>
    <n v="0.99173126614987084"/>
    <n v="0.99327122153209124"/>
  </r>
  <r>
    <x v="1"/>
    <s v="S21/S34_20190122_044130_2"/>
    <s v="all_channel"/>
    <x v="0"/>
    <m/>
    <n v="32"/>
    <s v="E9"/>
    <n v="1971"/>
    <n v="13"/>
    <n v="25"/>
    <n v="0.99344758064516125"/>
    <n v="0.98747494989979956"/>
    <n v="0.99045226130653241"/>
  </r>
  <r>
    <x v="1"/>
    <s v="S21/S34_20190122_044130_2"/>
    <s v="all_channel"/>
    <x v="1"/>
    <m/>
    <n v="32"/>
    <s v="E22"/>
    <n v="1971"/>
    <n v="9"/>
    <n v="25"/>
    <n v="0.99545454545454559"/>
    <n v="0.98747494989979956"/>
    <n v="0.99144869215291742"/>
  </r>
  <r>
    <x v="1"/>
    <s v="S21/S34_20190122_044130_2"/>
    <s v="all_channel"/>
    <x v="2"/>
    <s v="mean"/>
    <n v="32"/>
    <s v="E9"/>
    <n v="1954"/>
    <n v="8"/>
    <n v="42"/>
    <n v="0.99592252803261982"/>
    <n v="0.97895791583166336"/>
    <n v="0.987367357251137"/>
  </r>
  <r>
    <x v="1"/>
    <s v="S21/S34_20190122_044130_2"/>
    <s v="all_channel"/>
    <x v="3"/>
    <s v="median"/>
    <n v="32"/>
    <s v="E22"/>
    <n v="1963"/>
    <n v="9"/>
    <n v="33"/>
    <n v="0.99543610547667338"/>
    <n v="0.98346693386773543"/>
    <n v="0.989415322580645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AA6FA-A0D6-4731-9C9F-A453CB85EF6E}" name="PT_Fig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13"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axis="axisRow" multipleItemSelectionAllowed="1" showAll="0">
      <items count="5">
        <item x="0"/>
        <item x="1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precision" fld="10" subtotal="average" baseField="0" baseItem="0"/>
    <dataField name="Average of recall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33BB9-4E0E-4211-869B-384FB65CDBA7}" name="PT_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13"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axis="axisRow" multipleItemSelectionAllowed="1" showAll="0">
      <items count="5">
        <item x="0"/>
        <item x="1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f1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03F3B-DFC9-4A24-A1D6-AD252C128D98}" name="RawData" displayName="RawData" ref="A1:M417" totalsRowShown="0" headerRowDxfId="2" headerRowBorderDxfId="1" tableBorderDxfId="0">
  <autoFilter ref="A1:M417" xr:uid="{D1103F3B-DFC9-4A24-A1D6-AD252C128D98}"/>
  <tableColumns count="13">
    <tableColumn id="1" xr3:uid="{24757E2A-1AA3-4111-B978-A4DFD1C9C3A3}" name="dataset"/>
    <tableColumn id="2" xr3:uid="{63790818-943B-4D66-B194-97D37B340062}" name="session"/>
    <tableColumn id="3" xr3:uid="{99D0277B-F6B0-41C1-B115-3F169B5614BA}" name="selection"/>
    <tableColumn id="4" xr3:uid="{9B2A5124-1C3E-48D5-9ADB-06C59FB9CF68}" name="condition"/>
    <tableColumn id="5" xr3:uid="{B2A04E27-3162-4845-A33F-13F12C00DAD5}" name="center_method"/>
    <tableColumn id="6" xr3:uid="{166D0C41-2C8B-450B-B27C-CA7FC2B347A7}" name="n_channels_used"/>
    <tableColumn id="7" xr3:uid="{A432C1E0-6CBE-458D-BC7E-44B73A7A5C30}" name="best_channel"/>
    <tableColumn id="8" xr3:uid="{1DDE728A-2840-43A0-BEF1-6ED1E801935B}" name="tp"/>
    <tableColumn id="9" xr3:uid="{FC922F02-129C-4B2C-A459-7D1670C39906}" name="fp"/>
    <tableColumn id="10" xr3:uid="{B346868D-3A8E-41BA-BB68-38CFA20BAD96}" name="fn"/>
    <tableColumn id="11" xr3:uid="{CC6E5306-3DFC-4AC3-99A3-F4C52E211D58}" name="precision"/>
    <tableColumn id="12" xr3:uid="{C7552CB4-F91B-4FE4-A222-05A7D7F7C348}" name="recall"/>
    <tableColumn id="13" xr3:uid="{EB49D023-DDCE-44F0-8B3C-F39637201EFB}" name="f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C366-FC4E-4130-A843-BC7726578106}">
  <dimension ref="A3:G9"/>
  <sheetViews>
    <sheetView workbookViewId="0"/>
  </sheetViews>
  <sheetFormatPr defaultRowHeight="14.5" x14ac:dyDescent="0.35"/>
  <cols>
    <col min="1" max="1" width="13.81640625" bestFit="1" customWidth="1"/>
    <col min="2" max="2" width="17.90625" bestFit="1" customWidth="1"/>
    <col min="3" max="3" width="14.7265625" bestFit="1" customWidth="1"/>
    <col min="4" max="4" width="17.90625" bestFit="1" customWidth="1"/>
    <col min="5" max="5" width="14.7265625" bestFit="1" customWidth="1"/>
    <col min="6" max="6" width="22.7265625" bestFit="1" customWidth="1"/>
    <col min="7" max="7" width="19.54296875" bestFit="1" customWidth="1"/>
  </cols>
  <sheetData>
    <row r="3" spans="1:7" x14ac:dyDescent="0.35">
      <c r="B3" s="2" t="s">
        <v>157</v>
      </c>
    </row>
    <row r="4" spans="1:7" x14ac:dyDescent="0.35">
      <c r="B4" t="s">
        <v>13</v>
      </c>
      <c r="D4" t="s">
        <v>94</v>
      </c>
      <c r="F4" t="s">
        <v>160</v>
      </c>
      <c r="G4" t="s">
        <v>161</v>
      </c>
    </row>
    <row r="5" spans="1:7" x14ac:dyDescent="0.35">
      <c r="A5" s="2" t="s">
        <v>155</v>
      </c>
      <c r="B5" t="s">
        <v>159</v>
      </c>
      <c r="C5" t="s">
        <v>162</v>
      </c>
      <c r="D5" t="s">
        <v>159</v>
      </c>
      <c r="E5" t="s">
        <v>162</v>
      </c>
    </row>
    <row r="6" spans="1:7" x14ac:dyDescent="0.35">
      <c r="A6" s="3" t="s">
        <v>16</v>
      </c>
      <c r="B6">
        <v>0.5695676269124561</v>
      </c>
      <c r="C6">
        <v>0.97146945029651244</v>
      </c>
      <c r="D6">
        <v>0.67943992087814931</v>
      </c>
      <c r="E6">
        <v>0.95175233222333111</v>
      </c>
      <c r="F6">
        <v>0.61816498770497452</v>
      </c>
      <c r="G6">
        <v>0.96274841730260519</v>
      </c>
    </row>
    <row r="7" spans="1:7" x14ac:dyDescent="0.35">
      <c r="A7" s="3" t="s">
        <v>18</v>
      </c>
      <c r="B7">
        <v>0.60134948700615909</v>
      </c>
      <c r="C7">
        <v>0.61681317668346469</v>
      </c>
      <c r="D7">
        <v>0.69444901995813457</v>
      </c>
      <c r="E7">
        <v>0.70633922014780537</v>
      </c>
      <c r="F7">
        <v>0.64252812658107139</v>
      </c>
      <c r="G7">
        <v>0.65641123436961535</v>
      </c>
    </row>
    <row r="8" spans="1:7" x14ac:dyDescent="0.35">
      <c r="A8" s="3" t="s">
        <v>22</v>
      </c>
      <c r="B8">
        <v>0.75914522545239527</v>
      </c>
      <c r="C8">
        <v>0.89092301983858502</v>
      </c>
      <c r="D8">
        <v>0.88025337738080056</v>
      </c>
      <c r="E8">
        <v>0.90142536355316405</v>
      </c>
      <c r="F8">
        <v>0.8127122926514978</v>
      </c>
      <c r="G8">
        <v>0.89556828725080273</v>
      </c>
    </row>
    <row r="9" spans="1:7" x14ac:dyDescent="0.35">
      <c r="A9" s="3" t="s">
        <v>156</v>
      </c>
      <c r="B9">
        <v>0.64335411312366986</v>
      </c>
      <c r="C9">
        <v>0.8264018822728546</v>
      </c>
      <c r="D9">
        <v>0.75138077273902815</v>
      </c>
      <c r="E9">
        <v>0.85317230530810007</v>
      </c>
      <c r="F9">
        <v>0.69113513564584794</v>
      </c>
      <c r="G9">
        <v>0.83824264630767431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BF9C-56F4-4862-8AF7-F85D65DF4F62}">
  <dimension ref="A3:G18"/>
  <sheetViews>
    <sheetView workbookViewId="0"/>
  </sheetViews>
  <sheetFormatPr defaultRowHeight="14.5" x14ac:dyDescent="0.35"/>
  <cols>
    <col min="1" max="1" width="20.6328125" customWidth="1"/>
    <col min="2" max="2" width="18.6328125" customWidth="1"/>
    <col min="3" max="4" width="11.81640625" bestFit="1" customWidth="1"/>
  </cols>
  <sheetData>
    <row r="3" spans="1:7" x14ac:dyDescent="0.35">
      <c r="A3" s="2" t="s">
        <v>158</v>
      </c>
      <c r="B3" s="2" t="s">
        <v>157</v>
      </c>
    </row>
    <row r="4" spans="1:7" x14ac:dyDescent="0.35">
      <c r="A4" s="2" t="s">
        <v>155</v>
      </c>
      <c r="B4" t="s">
        <v>13</v>
      </c>
      <c r="C4" t="s">
        <v>94</v>
      </c>
      <c r="D4" t="s">
        <v>156</v>
      </c>
    </row>
    <row r="5" spans="1:7" x14ac:dyDescent="0.35">
      <c r="A5" s="3" t="s">
        <v>16</v>
      </c>
      <c r="B5">
        <v>0.69401335176965884</v>
      </c>
      <c r="C5">
        <v>0.76542808454090472</v>
      </c>
      <c r="D5">
        <v>0.72560063741847913</v>
      </c>
    </row>
    <row r="6" spans="1:7" x14ac:dyDescent="0.35">
      <c r="A6" s="3" t="s">
        <v>18</v>
      </c>
      <c r="B6">
        <v>0.56273574101111046</v>
      </c>
      <c r="C6">
        <v>0.66642888590687654</v>
      </c>
      <c r="D6">
        <v>0.60860001663808372</v>
      </c>
    </row>
    <row r="7" spans="1:7" x14ac:dyDescent="0.35">
      <c r="A7" s="3" t="s">
        <v>22</v>
      </c>
      <c r="B7">
        <v>0.80675302687224171</v>
      </c>
      <c r="C7">
        <v>0.88250896589103311</v>
      </c>
      <c r="D7">
        <v>0.84026046143824529</v>
      </c>
    </row>
    <row r="8" spans="1:7" x14ac:dyDescent="0.35">
      <c r="A8" s="3" t="s">
        <v>156</v>
      </c>
      <c r="B8">
        <v>0.68783403988433722</v>
      </c>
      <c r="C8">
        <v>0.77145531211293772</v>
      </c>
      <c r="D8">
        <v>0.72482037183160275</v>
      </c>
    </row>
    <row r="11" spans="1:7" x14ac:dyDescent="0.35">
      <c r="A11" s="4" t="s">
        <v>163</v>
      </c>
    </row>
    <row r="12" spans="1:7" x14ac:dyDescent="0.35">
      <c r="A12" s="4" t="s">
        <v>0</v>
      </c>
      <c r="B12" s="4" t="s">
        <v>164</v>
      </c>
      <c r="C12" s="4" t="s">
        <v>165</v>
      </c>
      <c r="D12" s="4" t="s">
        <v>166</v>
      </c>
      <c r="E12" s="4" t="s">
        <v>167</v>
      </c>
      <c r="F12" s="4" t="s">
        <v>168</v>
      </c>
      <c r="G12" s="4" t="s">
        <v>169</v>
      </c>
    </row>
    <row r="13" spans="1:7" x14ac:dyDescent="0.35">
      <c r="A13" t="s">
        <v>13</v>
      </c>
      <c r="B13" t="s">
        <v>16</v>
      </c>
      <c r="C13">
        <v>58</v>
      </c>
      <c r="D13">
        <v>98</v>
      </c>
      <c r="E13">
        <v>4.495968736036332E-9</v>
      </c>
      <c r="F13">
        <v>1.7983874944145328E-8</v>
      </c>
    </row>
    <row r="14" spans="1:7" x14ac:dyDescent="0.35">
      <c r="A14" t="s">
        <v>13</v>
      </c>
      <c r="B14" t="s">
        <v>18</v>
      </c>
      <c r="C14">
        <v>58</v>
      </c>
      <c r="D14">
        <v>186</v>
      </c>
      <c r="E14">
        <v>2.177579162364502E-7</v>
      </c>
      <c r="F14">
        <v>8.7103166494580079E-7</v>
      </c>
    </row>
    <row r="15" spans="1:7" x14ac:dyDescent="0.35">
      <c r="A15" t="s">
        <v>94</v>
      </c>
      <c r="B15" t="s">
        <v>16</v>
      </c>
      <c r="C15">
        <v>46</v>
      </c>
      <c r="D15">
        <v>172</v>
      </c>
      <c r="E15">
        <v>2.2625565577527595E-5</v>
      </c>
      <c r="F15">
        <v>9.0502262310110382E-5</v>
      </c>
    </row>
    <row r="16" spans="1:7" x14ac:dyDescent="0.35">
      <c r="A16" t="s">
        <v>94</v>
      </c>
      <c r="B16" t="s">
        <v>18</v>
      </c>
      <c r="C16">
        <v>46</v>
      </c>
      <c r="D16">
        <v>235</v>
      </c>
      <c r="E16">
        <v>5.9530582547040467E-4</v>
      </c>
      <c r="F16">
        <v>2.3812233018816187E-3</v>
      </c>
    </row>
    <row r="18" spans="1:1" x14ac:dyDescent="0.35">
      <c r="A18" s="5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1AFC-33F0-43A4-BDFF-5AB27CF66DBD}">
  <dimension ref="A1:M17"/>
  <sheetViews>
    <sheetView tabSelected="1" workbookViewId="0"/>
  </sheetViews>
  <sheetFormatPr defaultRowHeight="14.5" x14ac:dyDescent="0.35"/>
  <cols>
    <col min="1" max="1" width="32.6328125" customWidth="1"/>
    <col min="2" max="2" width="55.6328125" customWidth="1"/>
    <col min="3" max="3" width="50.6328125" customWidth="1"/>
    <col min="4" max="4" width="16.6328125" customWidth="1"/>
    <col min="5" max="5" width="30.6328125" customWidth="1"/>
    <col min="6" max="7" width="22.6328125" customWidth="1"/>
    <col min="8" max="8" width="40.6328125" customWidth="1"/>
    <col min="9" max="9" width="24.6328125" customWidth="1"/>
    <col min="10" max="10" width="30.6328125" customWidth="1"/>
    <col min="11" max="11" width="10.6328125" customWidth="1"/>
    <col min="12" max="12" width="18.6328125" customWidth="1"/>
    <col min="13" max="13" width="60.6328125" customWidth="1"/>
  </cols>
  <sheetData>
    <row r="1" spans="1:13" s="7" customFormat="1" x14ac:dyDescent="0.35">
      <c r="A1" s="6" t="s">
        <v>171</v>
      </c>
      <c r="B1" s="6" t="s">
        <v>172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  <c r="H1" s="6" t="s">
        <v>178</v>
      </c>
      <c r="I1" s="6" t="s">
        <v>179</v>
      </c>
      <c r="J1" s="6" t="s">
        <v>180</v>
      </c>
      <c r="K1" s="6" t="s">
        <v>181</v>
      </c>
      <c r="L1" s="6" t="s">
        <v>182</v>
      </c>
      <c r="M1" s="6" t="s">
        <v>183</v>
      </c>
    </row>
    <row r="2" spans="1:13" s="7" customFormat="1" ht="72.5" x14ac:dyDescent="0.35">
      <c r="A2" s="7" t="s">
        <v>184</v>
      </c>
      <c r="B2" s="7" t="s">
        <v>185</v>
      </c>
      <c r="C2" s="7" t="s">
        <v>186</v>
      </c>
      <c r="D2" s="7" t="s">
        <v>187</v>
      </c>
      <c r="E2" s="7" t="s">
        <v>188</v>
      </c>
      <c r="F2" s="7" t="s">
        <v>189</v>
      </c>
      <c r="G2" s="7" t="s">
        <v>190</v>
      </c>
      <c r="H2" s="7" t="s">
        <v>191</v>
      </c>
      <c r="I2" s="7">
        <v>88.25</v>
      </c>
      <c r="J2" s="7">
        <v>88.250900000000001</v>
      </c>
      <c r="K2" s="7">
        <v>0</v>
      </c>
      <c r="L2" s="7" t="s">
        <v>192</v>
      </c>
      <c r="M2" s="7" t="s">
        <v>193</v>
      </c>
    </row>
    <row r="3" spans="1:13" s="7" customFormat="1" ht="72.5" x14ac:dyDescent="0.35">
      <c r="A3" s="7" t="s">
        <v>194</v>
      </c>
      <c r="B3" s="7" t="s">
        <v>185</v>
      </c>
      <c r="C3" s="7" t="s">
        <v>186</v>
      </c>
      <c r="D3" s="7" t="s">
        <v>187</v>
      </c>
      <c r="E3" s="7" t="s">
        <v>188</v>
      </c>
      <c r="F3" s="7" t="s">
        <v>189</v>
      </c>
      <c r="G3" s="7" t="s">
        <v>190</v>
      </c>
      <c r="H3" s="7" t="s">
        <v>191</v>
      </c>
      <c r="I3" s="7">
        <v>76.540000000000006</v>
      </c>
      <c r="J3" s="7">
        <v>76.5428</v>
      </c>
      <c r="K3" s="7">
        <v>0</v>
      </c>
      <c r="L3" s="7" t="s">
        <v>192</v>
      </c>
      <c r="M3" s="7" t="s">
        <v>193</v>
      </c>
    </row>
    <row r="4" spans="1:13" s="7" customFormat="1" ht="72.5" x14ac:dyDescent="0.35">
      <c r="A4" s="7" t="s">
        <v>195</v>
      </c>
      <c r="B4" s="7" t="s">
        <v>185</v>
      </c>
      <c r="C4" s="7" t="s">
        <v>186</v>
      </c>
      <c r="D4" s="7" t="s">
        <v>187</v>
      </c>
      <c r="E4" s="7" t="s">
        <v>188</v>
      </c>
      <c r="F4" s="7" t="s">
        <v>189</v>
      </c>
      <c r="G4" s="7" t="s">
        <v>190</v>
      </c>
      <c r="H4" s="7" t="s">
        <v>191</v>
      </c>
      <c r="I4" s="7">
        <v>66.64</v>
      </c>
      <c r="J4" s="7">
        <v>66.642899999999997</v>
      </c>
      <c r="K4" s="7">
        <v>0</v>
      </c>
      <c r="L4" s="7" t="s">
        <v>192</v>
      </c>
      <c r="M4" s="7" t="s">
        <v>193</v>
      </c>
    </row>
    <row r="5" spans="1:13" s="7" customFormat="1" ht="72.5" x14ac:dyDescent="0.35">
      <c r="A5" s="7" t="s">
        <v>196</v>
      </c>
      <c r="B5" s="7" t="s">
        <v>185</v>
      </c>
      <c r="C5" s="7" t="s">
        <v>186</v>
      </c>
      <c r="D5" s="7" t="s">
        <v>187</v>
      </c>
      <c r="E5" s="7" t="s">
        <v>188</v>
      </c>
      <c r="F5" s="7" t="s">
        <v>189</v>
      </c>
      <c r="G5" s="7" t="s">
        <v>190</v>
      </c>
      <c r="H5" s="7" t="s">
        <v>191</v>
      </c>
      <c r="I5" s="7">
        <v>80.680000000000007</v>
      </c>
      <c r="J5" s="7">
        <v>80.675299999999993</v>
      </c>
      <c r="K5" s="7">
        <v>0</v>
      </c>
      <c r="L5" s="7" t="s">
        <v>192</v>
      </c>
      <c r="M5" s="7" t="s">
        <v>193</v>
      </c>
    </row>
    <row r="6" spans="1:13" s="7" customFormat="1" ht="72.5" x14ac:dyDescent="0.35">
      <c r="A6" s="7" t="s">
        <v>197</v>
      </c>
      <c r="B6" s="7" t="s">
        <v>185</v>
      </c>
      <c r="C6" s="7" t="s">
        <v>186</v>
      </c>
      <c r="D6" s="7" t="s">
        <v>187</v>
      </c>
      <c r="E6" s="7" t="s">
        <v>188</v>
      </c>
      <c r="F6" s="7" t="s">
        <v>189</v>
      </c>
      <c r="G6" s="7" t="s">
        <v>190</v>
      </c>
      <c r="H6" s="7" t="s">
        <v>191</v>
      </c>
      <c r="I6" s="7">
        <v>69.400000000000006</v>
      </c>
      <c r="J6" s="7">
        <v>69.401300000000006</v>
      </c>
      <c r="K6" s="7">
        <v>0</v>
      </c>
      <c r="L6" s="7" t="s">
        <v>192</v>
      </c>
      <c r="M6" s="7" t="s">
        <v>193</v>
      </c>
    </row>
    <row r="7" spans="1:13" s="7" customFormat="1" ht="72.5" x14ac:dyDescent="0.35">
      <c r="A7" s="7" t="s">
        <v>198</v>
      </c>
      <c r="B7" s="7" t="s">
        <v>185</v>
      </c>
      <c r="C7" s="7" t="s">
        <v>186</v>
      </c>
      <c r="D7" s="7" t="s">
        <v>187</v>
      </c>
      <c r="E7" s="7" t="s">
        <v>188</v>
      </c>
      <c r="F7" s="7" t="s">
        <v>189</v>
      </c>
      <c r="G7" s="7" t="s">
        <v>190</v>
      </c>
      <c r="H7" s="7" t="s">
        <v>191</v>
      </c>
      <c r="I7" s="7">
        <v>56.27</v>
      </c>
      <c r="J7" s="7">
        <v>56.273600000000002</v>
      </c>
      <c r="K7" s="7">
        <v>0</v>
      </c>
      <c r="L7" s="7" t="s">
        <v>192</v>
      </c>
      <c r="M7" s="7" t="s">
        <v>193</v>
      </c>
    </row>
    <row r="8" spans="1:13" s="7" customFormat="1" ht="58" x14ac:dyDescent="0.35">
      <c r="A8" s="7" t="s">
        <v>199</v>
      </c>
      <c r="B8" s="7" t="s">
        <v>200</v>
      </c>
      <c r="C8" s="7" t="s">
        <v>186</v>
      </c>
      <c r="D8" s="7" t="s">
        <v>187</v>
      </c>
      <c r="E8" s="7" t="s">
        <v>201</v>
      </c>
      <c r="F8" s="7" t="s">
        <v>202</v>
      </c>
      <c r="G8" s="7" t="s">
        <v>203</v>
      </c>
      <c r="H8" s="7" t="s">
        <v>158</v>
      </c>
      <c r="I8" s="7" t="s">
        <v>204</v>
      </c>
      <c r="J8" s="7" t="s">
        <v>205</v>
      </c>
      <c r="K8" s="7" t="s">
        <v>206</v>
      </c>
      <c r="L8" s="7" t="s">
        <v>192</v>
      </c>
      <c r="M8" s="7" t="s">
        <v>207</v>
      </c>
    </row>
    <row r="9" spans="1:13" s="7" customFormat="1" ht="101.5" x14ac:dyDescent="0.35">
      <c r="A9" s="7" t="s">
        <v>208</v>
      </c>
      <c r="B9" s="7" t="s">
        <v>209</v>
      </c>
      <c r="C9" s="7" t="s">
        <v>186</v>
      </c>
      <c r="D9" s="7" t="s">
        <v>210</v>
      </c>
      <c r="E9" s="7" t="s">
        <v>188</v>
      </c>
      <c r="F9" s="7" t="s">
        <v>189</v>
      </c>
      <c r="G9" s="7" t="s">
        <v>211</v>
      </c>
      <c r="H9" s="7" t="s">
        <v>212</v>
      </c>
      <c r="I9" s="7" t="s">
        <v>213</v>
      </c>
      <c r="J9" s="7" t="s">
        <v>214</v>
      </c>
      <c r="K9" s="7" t="s">
        <v>215</v>
      </c>
      <c r="L9" s="7" t="s">
        <v>192</v>
      </c>
      <c r="M9" s="7" t="s">
        <v>216</v>
      </c>
    </row>
    <row r="10" spans="1:13" s="7" customFormat="1" ht="101.5" x14ac:dyDescent="0.35">
      <c r="A10" s="7" t="s">
        <v>217</v>
      </c>
      <c r="B10" s="7" t="s">
        <v>209</v>
      </c>
      <c r="C10" s="7" t="s">
        <v>186</v>
      </c>
      <c r="D10" s="7" t="s">
        <v>210</v>
      </c>
      <c r="E10" s="7" t="s">
        <v>188</v>
      </c>
      <c r="F10" s="7" t="s">
        <v>189</v>
      </c>
      <c r="G10" s="7" t="s">
        <v>211</v>
      </c>
      <c r="H10" s="7" t="s">
        <v>212</v>
      </c>
      <c r="I10" s="7" t="s">
        <v>213</v>
      </c>
      <c r="J10" s="7" t="s">
        <v>218</v>
      </c>
      <c r="K10" s="7" t="s">
        <v>215</v>
      </c>
      <c r="L10" s="7" t="s">
        <v>192</v>
      </c>
      <c r="M10" s="7" t="s">
        <v>216</v>
      </c>
    </row>
    <row r="11" spans="1:13" s="7" customFormat="1" ht="101.5" x14ac:dyDescent="0.35">
      <c r="A11" s="7" t="s">
        <v>219</v>
      </c>
      <c r="B11" s="7" t="s">
        <v>209</v>
      </c>
      <c r="C11" s="7" t="s">
        <v>186</v>
      </c>
      <c r="D11" s="7" t="s">
        <v>210</v>
      </c>
      <c r="E11" s="7" t="s">
        <v>188</v>
      </c>
      <c r="F11" s="7" t="s">
        <v>189</v>
      </c>
      <c r="G11" s="7" t="s">
        <v>211</v>
      </c>
      <c r="H11" s="7" t="s">
        <v>212</v>
      </c>
      <c r="I11" s="7" t="s">
        <v>213</v>
      </c>
      <c r="J11" s="7" t="s">
        <v>220</v>
      </c>
      <c r="K11" s="7" t="s">
        <v>215</v>
      </c>
      <c r="L11" s="7" t="s">
        <v>192</v>
      </c>
      <c r="M11" s="7" t="s">
        <v>216</v>
      </c>
    </row>
    <row r="12" spans="1:13" s="7" customFormat="1" ht="101.5" x14ac:dyDescent="0.35">
      <c r="A12" s="7" t="s">
        <v>221</v>
      </c>
      <c r="B12" s="7" t="s">
        <v>209</v>
      </c>
      <c r="C12" s="7" t="s">
        <v>186</v>
      </c>
      <c r="D12" s="7" t="s">
        <v>210</v>
      </c>
      <c r="E12" s="7" t="s">
        <v>188</v>
      </c>
      <c r="F12" s="7" t="s">
        <v>189</v>
      </c>
      <c r="G12" s="7" t="s">
        <v>211</v>
      </c>
      <c r="H12" s="7" t="s">
        <v>212</v>
      </c>
      <c r="I12" s="7" t="s">
        <v>213</v>
      </c>
      <c r="J12" s="7" t="s">
        <v>222</v>
      </c>
      <c r="K12" s="7" t="s">
        <v>215</v>
      </c>
      <c r="L12" s="7" t="s">
        <v>192</v>
      </c>
      <c r="M12" s="7" t="s">
        <v>216</v>
      </c>
    </row>
    <row r="13" spans="1:13" s="7" customFormat="1" ht="101.5" x14ac:dyDescent="0.35">
      <c r="A13" s="7" t="s">
        <v>223</v>
      </c>
      <c r="B13" s="7" t="s">
        <v>209</v>
      </c>
      <c r="C13" s="7" t="s">
        <v>186</v>
      </c>
      <c r="D13" s="7" t="s">
        <v>210</v>
      </c>
      <c r="E13" s="7" t="s">
        <v>188</v>
      </c>
      <c r="F13" s="7" t="s">
        <v>189</v>
      </c>
      <c r="G13" s="7" t="s">
        <v>211</v>
      </c>
      <c r="H13" s="7" t="s">
        <v>212</v>
      </c>
      <c r="I13" s="7" t="s">
        <v>213</v>
      </c>
      <c r="J13" s="7" t="s">
        <v>224</v>
      </c>
      <c r="K13" s="7" t="s">
        <v>215</v>
      </c>
      <c r="L13" s="7" t="s">
        <v>192</v>
      </c>
      <c r="M13" s="7" t="s">
        <v>216</v>
      </c>
    </row>
    <row r="14" spans="1:13" s="7" customFormat="1" ht="101.5" x14ac:dyDescent="0.35">
      <c r="A14" s="7" t="s">
        <v>225</v>
      </c>
      <c r="B14" s="7" t="s">
        <v>209</v>
      </c>
      <c r="C14" s="7" t="s">
        <v>186</v>
      </c>
      <c r="D14" s="7" t="s">
        <v>210</v>
      </c>
      <c r="E14" s="7" t="s">
        <v>188</v>
      </c>
      <c r="F14" s="7" t="s">
        <v>189</v>
      </c>
      <c r="G14" s="7" t="s">
        <v>211</v>
      </c>
      <c r="H14" s="7" t="s">
        <v>212</v>
      </c>
      <c r="I14" s="7" t="s">
        <v>213</v>
      </c>
      <c r="J14" s="7" t="s">
        <v>226</v>
      </c>
      <c r="K14" s="7" t="s">
        <v>215</v>
      </c>
      <c r="L14" s="7" t="s">
        <v>192</v>
      </c>
      <c r="M14" s="7" t="s">
        <v>216</v>
      </c>
    </row>
    <row r="15" spans="1:13" s="7" customFormat="1" x14ac:dyDescent="0.35"/>
    <row r="16" spans="1:13" x14ac:dyDescent="0.35">
      <c r="A16" s="4" t="s">
        <v>227</v>
      </c>
    </row>
    <row r="17" spans="1:1" x14ac:dyDescent="0.35">
      <c r="A17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7"/>
  <sheetViews>
    <sheetView workbookViewId="0"/>
  </sheetViews>
  <sheetFormatPr defaultRowHeight="14.5" x14ac:dyDescent="0.35"/>
  <cols>
    <col min="1" max="1" width="9.1796875" customWidth="1"/>
    <col min="2" max="2" width="8.90625" customWidth="1"/>
    <col min="3" max="3" width="10.26953125" customWidth="1"/>
    <col min="4" max="4" width="10.7265625" customWidth="1"/>
    <col min="5" max="5" width="15.81640625" customWidth="1"/>
    <col min="6" max="6" width="17.26953125" customWidth="1"/>
    <col min="7" max="7" width="14" customWidth="1"/>
    <col min="11" max="11" width="10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F2">
        <v>32</v>
      </c>
      <c r="G2" t="s">
        <v>17</v>
      </c>
      <c r="H2">
        <v>405</v>
      </c>
      <c r="I2">
        <v>1461</v>
      </c>
      <c r="J2">
        <v>3</v>
      </c>
      <c r="K2">
        <v>0.21704180064308681</v>
      </c>
      <c r="L2">
        <v>0.99264705882352944</v>
      </c>
      <c r="M2">
        <v>0.35620052770448551</v>
      </c>
    </row>
    <row r="3" spans="1:13" x14ac:dyDescent="0.35">
      <c r="A3" t="s">
        <v>13</v>
      </c>
      <c r="B3" t="s">
        <v>14</v>
      </c>
      <c r="C3" t="s">
        <v>15</v>
      </c>
      <c r="D3" t="s">
        <v>18</v>
      </c>
      <c r="F3">
        <v>32</v>
      </c>
      <c r="G3" t="s">
        <v>19</v>
      </c>
      <c r="H3">
        <v>8</v>
      </c>
      <c r="I3">
        <v>20</v>
      </c>
      <c r="J3">
        <v>400</v>
      </c>
      <c r="K3">
        <v>0.2857142857142857</v>
      </c>
      <c r="L3">
        <v>1.9607843137254902E-2</v>
      </c>
      <c r="M3">
        <v>3.6697247706422E-2</v>
      </c>
    </row>
    <row r="4" spans="1:13" x14ac:dyDescent="0.35">
      <c r="A4" t="s">
        <v>13</v>
      </c>
      <c r="B4" t="s">
        <v>14</v>
      </c>
      <c r="C4" t="s">
        <v>15</v>
      </c>
      <c r="D4" t="s">
        <v>20</v>
      </c>
      <c r="E4" t="s">
        <v>21</v>
      </c>
      <c r="F4">
        <v>32</v>
      </c>
      <c r="G4" t="s">
        <v>17</v>
      </c>
      <c r="H4">
        <v>326</v>
      </c>
      <c r="I4">
        <v>320</v>
      </c>
      <c r="J4">
        <v>82</v>
      </c>
      <c r="K4">
        <v>0.50464396284829727</v>
      </c>
      <c r="L4">
        <v>0.7990196078431373</v>
      </c>
      <c r="M4">
        <v>0.61859582542694502</v>
      </c>
    </row>
    <row r="5" spans="1:13" x14ac:dyDescent="0.35">
      <c r="A5" t="s">
        <v>13</v>
      </c>
      <c r="B5" t="s">
        <v>14</v>
      </c>
      <c r="C5" t="s">
        <v>15</v>
      </c>
      <c r="D5" t="s">
        <v>22</v>
      </c>
      <c r="E5" t="s">
        <v>23</v>
      </c>
      <c r="F5">
        <v>32</v>
      </c>
      <c r="G5" t="s">
        <v>17</v>
      </c>
      <c r="H5">
        <v>331</v>
      </c>
      <c r="I5">
        <v>335</v>
      </c>
      <c r="J5">
        <v>77</v>
      </c>
      <c r="K5">
        <v>0.49699699699699701</v>
      </c>
      <c r="L5">
        <v>0.81127450980392157</v>
      </c>
      <c r="M5">
        <v>0.61638733705772808</v>
      </c>
    </row>
    <row r="6" spans="1:13" x14ac:dyDescent="0.35">
      <c r="A6" t="s">
        <v>13</v>
      </c>
      <c r="B6" t="s">
        <v>24</v>
      </c>
      <c r="C6" t="s">
        <v>15</v>
      </c>
      <c r="D6" t="s">
        <v>16</v>
      </c>
      <c r="F6">
        <v>32</v>
      </c>
      <c r="G6" t="s">
        <v>17</v>
      </c>
      <c r="H6">
        <v>617</v>
      </c>
      <c r="I6">
        <v>1155</v>
      </c>
      <c r="J6">
        <v>2</v>
      </c>
      <c r="K6">
        <v>0.34819413092550788</v>
      </c>
      <c r="L6">
        <v>0.99676898222940225</v>
      </c>
      <c r="M6">
        <v>0.51610204935173565</v>
      </c>
    </row>
    <row r="7" spans="1:13" x14ac:dyDescent="0.35">
      <c r="A7" t="s">
        <v>13</v>
      </c>
      <c r="B7" t="s">
        <v>24</v>
      </c>
      <c r="C7" t="s">
        <v>15</v>
      </c>
      <c r="D7" t="s">
        <v>18</v>
      </c>
      <c r="F7">
        <v>32</v>
      </c>
      <c r="G7" t="s">
        <v>25</v>
      </c>
      <c r="H7">
        <v>10</v>
      </c>
      <c r="I7">
        <v>65</v>
      </c>
      <c r="J7">
        <v>609</v>
      </c>
      <c r="K7">
        <v>0.1333333333333333</v>
      </c>
      <c r="L7">
        <v>1.6155088852988601E-2</v>
      </c>
      <c r="M7">
        <v>2.8818443804034501E-2</v>
      </c>
    </row>
    <row r="8" spans="1:13" x14ac:dyDescent="0.35">
      <c r="A8" t="s">
        <v>13</v>
      </c>
      <c r="B8" t="s">
        <v>24</v>
      </c>
      <c r="C8" t="s">
        <v>15</v>
      </c>
      <c r="D8" t="s">
        <v>20</v>
      </c>
      <c r="E8" t="s">
        <v>21</v>
      </c>
      <c r="F8">
        <v>32</v>
      </c>
      <c r="G8" t="s">
        <v>17</v>
      </c>
      <c r="H8">
        <v>477</v>
      </c>
      <c r="I8">
        <v>233</v>
      </c>
      <c r="J8">
        <v>142</v>
      </c>
      <c r="K8">
        <v>0.67183098591549295</v>
      </c>
      <c r="L8">
        <v>0.77059773828756062</v>
      </c>
      <c r="M8">
        <v>0.71783295711060946</v>
      </c>
    </row>
    <row r="9" spans="1:13" x14ac:dyDescent="0.35">
      <c r="A9" t="s">
        <v>13</v>
      </c>
      <c r="B9" t="s">
        <v>24</v>
      </c>
      <c r="C9" t="s">
        <v>15</v>
      </c>
      <c r="D9" t="s">
        <v>22</v>
      </c>
      <c r="E9" t="s">
        <v>23</v>
      </c>
      <c r="F9">
        <v>32</v>
      </c>
      <c r="G9" t="s">
        <v>17</v>
      </c>
      <c r="H9">
        <v>499</v>
      </c>
      <c r="I9">
        <v>256</v>
      </c>
      <c r="J9">
        <v>120</v>
      </c>
      <c r="K9">
        <v>0.66092715231788079</v>
      </c>
      <c r="L9">
        <v>0.8061389337641357</v>
      </c>
      <c r="M9">
        <v>0.72634643377001462</v>
      </c>
    </row>
    <row r="10" spans="1:13" x14ac:dyDescent="0.35">
      <c r="A10" t="s">
        <v>13</v>
      </c>
      <c r="B10" t="s">
        <v>26</v>
      </c>
      <c r="C10" t="s">
        <v>15</v>
      </c>
      <c r="D10" t="s">
        <v>16</v>
      </c>
      <c r="F10">
        <v>32</v>
      </c>
      <c r="G10" t="s">
        <v>17</v>
      </c>
      <c r="H10">
        <v>975</v>
      </c>
      <c r="I10">
        <v>375</v>
      </c>
      <c r="J10">
        <v>1</v>
      </c>
      <c r="K10">
        <v>0.72222222222222221</v>
      </c>
      <c r="L10">
        <v>0.99897540983606559</v>
      </c>
      <c r="M10">
        <v>0.83834909716251071</v>
      </c>
    </row>
    <row r="11" spans="1:13" x14ac:dyDescent="0.35">
      <c r="A11" t="s">
        <v>13</v>
      </c>
      <c r="B11" t="s">
        <v>26</v>
      </c>
      <c r="C11" t="s">
        <v>15</v>
      </c>
      <c r="D11" t="s">
        <v>18</v>
      </c>
      <c r="F11">
        <v>32</v>
      </c>
      <c r="G11" t="s">
        <v>17</v>
      </c>
      <c r="H11">
        <v>937</v>
      </c>
      <c r="I11">
        <v>87</v>
      </c>
      <c r="J11">
        <v>39</v>
      </c>
      <c r="K11">
        <v>0.9150390625</v>
      </c>
      <c r="L11">
        <v>0.96004098360655743</v>
      </c>
      <c r="M11">
        <v>0.93700000000000006</v>
      </c>
    </row>
    <row r="12" spans="1:13" x14ac:dyDescent="0.35">
      <c r="A12" t="s">
        <v>13</v>
      </c>
      <c r="B12" t="s">
        <v>26</v>
      </c>
      <c r="C12" t="s">
        <v>15</v>
      </c>
      <c r="D12" t="s">
        <v>20</v>
      </c>
      <c r="E12" t="s">
        <v>21</v>
      </c>
      <c r="F12">
        <v>32</v>
      </c>
      <c r="G12" t="s">
        <v>17</v>
      </c>
      <c r="H12">
        <v>965</v>
      </c>
      <c r="I12">
        <v>107</v>
      </c>
      <c r="J12">
        <v>11</v>
      </c>
      <c r="K12">
        <v>0.90018656716417911</v>
      </c>
      <c r="L12">
        <v>0.98872950819672123</v>
      </c>
      <c r="M12">
        <v>0.9423828125</v>
      </c>
    </row>
    <row r="13" spans="1:13" x14ac:dyDescent="0.35">
      <c r="A13" t="s">
        <v>13</v>
      </c>
      <c r="B13" t="s">
        <v>26</v>
      </c>
      <c r="C13" t="s">
        <v>15</v>
      </c>
      <c r="D13" t="s">
        <v>22</v>
      </c>
      <c r="E13" t="s">
        <v>23</v>
      </c>
      <c r="F13">
        <v>32</v>
      </c>
      <c r="G13" t="s">
        <v>17</v>
      </c>
      <c r="H13">
        <v>968</v>
      </c>
      <c r="I13">
        <v>125</v>
      </c>
      <c r="J13">
        <v>8</v>
      </c>
      <c r="K13">
        <v>0.8856358645928637</v>
      </c>
      <c r="L13">
        <v>0.99180327868852458</v>
      </c>
      <c r="M13">
        <v>0.9357177380376992</v>
      </c>
    </row>
    <row r="14" spans="1:13" x14ac:dyDescent="0.35">
      <c r="A14" t="s">
        <v>13</v>
      </c>
      <c r="B14" t="s">
        <v>27</v>
      </c>
      <c r="C14" t="s">
        <v>15</v>
      </c>
      <c r="D14" t="s">
        <v>16</v>
      </c>
      <c r="F14">
        <v>32</v>
      </c>
      <c r="G14" t="s">
        <v>28</v>
      </c>
      <c r="H14">
        <v>685</v>
      </c>
      <c r="I14">
        <v>932</v>
      </c>
      <c r="J14">
        <v>99</v>
      </c>
      <c r="K14">
        <v>0.42362399505256648</v>
      </c>
      <c r="L14">
        <v>0.87372448979591832</v>
      </c>
      <c r="M14">
        <v>0.57059558517284459</v>
      </c>
    </row>
    <row r="15" spans="1:13" x14ac:dyDescent="0.35">
      <c r="A15" t="s">
        <v>13</v>
      </c>
      <c r="B15" t="s">
        <v>27</v>
      </c>
      <c r="C15" t="s">
        <v>15</v>
      </c>
      <c r="D15" t="s">
        <v>18</v>
      </c>
      <c r="F15">
        <v>32</v>
      </c>
      <c r="G15" t="s">
        <v>29</v>
      </c>
      <c r="H15">
        <v>495</v>
      </c>
      <c r="I15">
        <v>364</v>
      </c>
      <c r="J15">
        <v>289</v>
      </c>
      <c r="K15">
        <v>0.57625145518044241</v>
      </c>
      <c r="L15">
        <v>0.63137755102040816</v>
      </c>
      <c r="M15">
        <v>0.60255629945222156</v>
      </c>
    </row>
    <row r="16" spans="1:13" x14ac:dyDescent="0.35">
      <c r="A16" t="s">
        <v>13</v>
      </c>
      <c r="B16" t="s">
        <v>27</v>
      </c>
      <c r="C16" t="s">
        <v>15</v>
      </c>
      <c r="D16" t="s">
        <v>20</v>
      </c>
      <c r="E16" t="s">
        <v>21</v>
      </c>
      <c r="F16">
        <v>32</v>
      </c>
      <c r="G16" t="s">
        <v>17</v>
      </c>
      <c r="H16">
        <v>599</v>
      </c>
      <c r="I16">
        <v>329</v>
      </c>
      <c r="J16">
        <v>185</v>
      </c>
      <c r="K16">
        <v>0.64547413793103448</v>
      </c>
      <c r="L16">
        <v>0.76403061224489799</v>
      </c>
      <c r="M16">
        <v>0.69976635514018681</v>
      </c>
    </row>
    <row r="17" spans="1:13" x14ac:dyDescent="0.35">
      <c r="A17" t="s">
        <v>13</v>
      </c>
      <c r="B17" t="s">
        <v>27</v>
      </c>
      <c r="C17" t="s">
        <v>15</v>
      </c>
      <c r="D17" t="s">
        <v>22</v>
      </c>
      <c r="E17" t="s">
        <v>23</v>
      </c>
      <c r="F17">
        <v>32</v>
      </c>
      <c r="G17" t="s">
        <v>17</v>
      </c>
      <c r="H17">
        <v>623</v>
      </c>
      <c r="I17">
        <v>362</v>
      </c>
      <c r="J17">
        <v>161</v>
      </c>
      <c r="K17">
        <v>0.63248730964467004</v>
      </c>
      <c r="L17">
        <v>0.7946428571428571</v>
      </c>
      <c r="M17">
        <v>0.70435274166195594</v>
      </c>
    </row>
    <row r="18" spans="1:13" x14ac:dyDescent="0.35">
      <c r="A18" t="s">
        <v>13</v>
      </c>
      <c r="B18" t="s">
        <v>30</v>
      </c>
      <c r="C18" t="s">
        <v>15</v>
      </c>
      <c r="D18" t="s">
        <v>16</v>
      </c>
      <c r="F18">
        <v>32</v>
      </c>
      <c r="G18" t="s">
        <v>28</v>
      </c>
      <c r="H18">
        <v>699</v>
      </c>
      <c r="I18">
        <v>918</v>
      </c>
      <c r="J18">
        <v>105</v>
      </c>
      <c r="K18">
        <v>0.43228200371057512</v>
      </c>
      <c r="L18">
        <v>0.86940298507462688</v>
      </c>
      <c r="M18">
        <v>0.57744733581164809</v>
      </c>
    </row>
    <row r="19" spans="1:13" x14ac:dyDescent="0.35">
      <c r="A19" t="s">
        <v>13</v>
      </c>
      <c r="B19" t="s">
        <v>30</v>
      </c>
      <c r="C19" t="s">
        <v>15</v>
      </c>
      <c r="D19" t="s">
        <v>18</v>
      </c>
      <c r="F19">
        <v>32</v>
      </c>
      <c r="G19" t="s">
        <v>29</v>
      </c>
      <c r="H19">
        <v>503</v>
      </c>
      <c r="I19">
        <v>356</v>
      </c>
      <c r="J19">
        <v>301</v>
      </c>
      <c r="K19">
        <v>0.5855646100116414</v>
      </c>
      <c r="L19">
        <v>0.62562189054726369</v>
      </c>
      <c r="M19">
        <v>0.60493084786530371</v>
      </c>
    </row>
    <row r="20" spans="1:13" x14ac:dyDescent="0.35">
      <c r="A20" t="s">
        <v>13</v>
      </c>
      <c r="B20" t="s">
        <v>30</v>
      </c>
      <c r="C20" t="s">
        <v>15</v>
      </c>
      <c r="D20" t="s">
        <v>20</v>
      </c>
      <c r="E20" t="s">
        <v>21</v>
      </c>
      <c r="F20">
        <v>32</v>
      </c>
      <c r="G20" t="s">
        <v>17</v>
      </c>
      <c r="H20">
        <v>603</v>
      </c>
      <c r="I20">
        <v>325</v>
      </c>
      <c r="J20">
        <v>201</v>
      </c>
      <c r="K20">
        <v>0.64978448275862066</v>
      </c>
      <c r="L20">
        <v>0.75</v>
      </c>
      <c r="M20">
        <v>0.69630484988452668</v>
      </c>
    </row>
    <row r="21" spans="1:13" x14ac:dyDescent="0.35">
      <c r="A21" t="s">
        <v>13</v>
      </c>
      <c r="B21" t="s">
        <v>30</v>
      </c>
      <c r="C21" t="s">
        <v>15</v>
      </c>
      <c r="D21" t="s">
        <v>22</v>
      </c>
      <c r="E21" t="s">
        <v>23</v>
      </c>
      <c r="F21">
        <v>32</v>
      </c>
      <c r="G21" t="s">
        <v>17</v>
      </c>
      <c r="H21">
        <v>626</v>
      </c>
      <c r="I21">
        <v>359</v>
      </c>
      <c r="J21">
        <v>178</v>
      </c>
      <c r="K21">
        <v>0.63553299492385784</v>
      </c>
      <c r="L21">
        <v>0.77860696517412931</v>
      </c>
      <c r="M21">
        <v>0.69983230855226375</v>
      </c>
    </row>
    <row r="22" spans="1:13" x14ac:dyDescent="0.35">
      <c r="A22" t="s">
        <v>13</v>
      </c>
      <c r="B22" t="s">
        <v>31</v>
      </c>
      <c r="C22" t="s">
        <v>15</v>
      </c>
      <c r="D22" t="s">
        <v>16</v>
      </c>
      <c r="F22">
        <v>32</v>
      </c>
      <c r="G22" t="s">
        <v>17</v>
      </c>
      <c r="H22">
        <v>769</v>
      </c>
      <c r="I22">
        <v>870</v>
      </c>
      <c r="J22">
        <v>1</v>
      </c>
      <c r="K22">
        <v>0.4691885295912141</v>
      </c>
      <c r="L22">
        <v>0.99870129870129876</v>
      </c>
      <c r="M22">
        <v>0.6384391863843919</v>
      </c>
    </row>
    <row r="23" spans="1:13" x14ac:dyDescent="0.35">
      <c r="A23" t="s">
        <v>13</v>
      </c>
      <c r="B23" t="s">
        <v>31</v>
      </c>
      <c r="C23" t="s">
        <v>15</v>
      </c>
      <c r="D23" t="s">
        <v>18</v>
      </c>
      <c r="F23">
        <v>32</v>
      </c>
      <c r="G23" t="s">
        <v>17</v>
      </c>
      <c r="H23">
        <v>719</v>
      </c>
      <c r="I23">
        <v>184</v>
      </c>
      <c r="J23">
        <v>51</v>
      </c>
      <c r="K23">
        <v>0.79623477297895906</v>
      </c>
      <c r="L23">
        <v>0.9337662337662338</v>
      </c>
      <c r="M23">
        <v>0.85953377166766287</v>
      </c>
    </row>
    <row r="24" spans="1:13" x14ac:dyDescent="0.35">
      <c r="A24" t="s">
        <v>13</v>
      </c>
      <c r="B24" t="s">
        <v>31</v>
      </c>
      <c r="C24" t="s">
        <v>15</v>
      </c>
      <c r="D24" t="s">
        <v>20</v>
      </c>
      <c r="E24" t="s">
        <v>21</v>
      </c>
      <c r="F24">
        <v>32</v>
      </c>
      <c r="G24" t="s">
        <v>29</v>
      </c>
      <c r="H24">
        <v>759</v>
      </c>
      <c r="I24">
        <v>338</v>
      </c>
      <c r="J24">
        <v>11</v>
      </c>
      <c r="K24">
        <v>0.69188696444849584</v>
      </c>
      <c r="L24">
        <v>0.98571428571428577</v>
      </c>
      <c r="M24">
        <v>0.81306909480449918</v>
      </c>
    </row>
    <row r="25" spans="1:13" x14ac:dyDescent="0.35">
      <c r="A25" t="s">
        <v>13</v>
      </c>
      <c r="B25" t="s">
        <v>31</v>
      </c>
      <c r="C25" t="s">
        <v>15</v>
      </c>
      <c r="D25" t="s">
        <v>22</v>
      </c>
      <c r="E25" t="s">
        <v>23</v>
      </c>
      <c r="F25">
        <v>32</v>
      </c>
      <c r="G25" t="s">
        <v>17</v>
      </c>
      <c r="H25">
        <v>764</v>
      </c>
      <c r="I25">
        <v>376</v>
      </c>
      <c r="J25">
        <v>6</v>
      </c>
      <c r="K25">
        <v>0.6701754385964912</v>
      </c>
      <c r="L25">
        <v>0.99220779220779221</v>
      </c>
      <c r="M25">
        <v>0.79999999999999993</v>
      </c>
    </row>
    <row r="26" spans="1:13" x14ac:dyDescent="0.35">
      <c r="A26" t="s">
        <v>13</v>
      </c>
      <c r="B26" t="s">
        <v>32</v>
      </c>
      <c r="C26" t="s">
        <v>15</v>
      </c>
      <c r="D26" t="s">
        <v>16</v>
      </c>
      <c r="F26">
        <v>32</v>
      </c>
      <c r="G26" t="s">
        <v>17</v>
      </c>
      <c r="H26">
        <v>1390</v>
      </c>
      <c r="I26">
        <v>254</v>
      </c>
      <c r="J26">
        <v>7</v>
      </c>
      <c r="K26">
        <v>0.84549878345498786</v>
      </c>
      <c r="L26">
        <v>0.99498926270579802</v>
      </c>
      <c r="M26">
        <v>0.91417296941795456</v>
      </c>
    </row>
    <row r="27" spans="1:13" x14ac:dyDescent="0.35">
      <c r="A27" t="s">
        <v>13</v>
      </c>
      <c r="B27" t="s">
        <v>32</v>
      </c>
      <c r="C27" t="s">
        <v>15</v>
      </c>
      <c r="D27" t="s">
        <v>18</v>
      </c>
      <c r="F27">
        <v>32</v>
      </c>
      <c r="G27" t="s">
        <v>19</v>
      </c>
      <c r="H27">
        <v>166</v>
      </c>
      <c r="I27">
        <v>155</v>
      </c>
      <c r="J27">
        <v>1231</v>
      </c>
      <c r="K27">
        <v>0.51713395638629278</v>
      </c>
      <c r="L27">
        <v>0.1188260558339298</v>
      </c>
      <c r="M27">
        <v>0.1932479627473806</v>
      </c>
    </row>
    <row r="28" spans="1:13" x14ac:dyDescent="0.35">
      <c r="A28" t="s">
        <v>13</v>
      </c>
      <c r="B28" t="s">
        <v>32</v>
      </c>
      <c r="C28" t="s">
        <v>15</v>
      </c>
      <c r="D28" t="s">
        <v>20</v>
      </c>
      <c r="E28" t="s">
        <v>21</v>
      </c>
      <c r="F28">
        <v>32</v>
      </c>
      <c r="G28" t="s">
        <v>17</v>
      </c>
      <c r="H28">
        <v>1389</v>
      </c>
      <c r="I28">
        <v>77</v>
      </c>
      <c r="J28">
        <v>8</v>
      </c>
      <c r="K28">
        <v>0.94747612551159621</v>
      </c>
      <c r="L28">
        <v>0.99427344309234078</v>
      </c>
      <c r="M28">
        <v>0.97031086273140077</v>
      </c>
    </row>
    <row r="29" spans="1:13" x14ac:dyDescent="0.35">
      <c r="A29" t="s">
        <v>13</v>
      </c>
      <c r="B29" t="s">
        <v>32</v>
      </c>
      <c r="C29" t="s">
        <v>15</v>
      </c>
      <c r="D29" t="s">
        <v>22</v>
      </c>
      <c r="E29" t="s">
        <v>23</v>
      </c>
      <c r="F29">
        <v>32</v>
      </c>
      <c r="G29" t="s">
        <v>17</v>
      </c>
      <c r="H29">
        <v>1391</v>
      </c>
      <c r="I29">
        <v>89</v>
      </c>
      <c r="J29">
        <v>6</v>
      </c>
      <c r="K29">
        <v>0.93986486486486476</v>
      </c>
      <c r="L29">
        <v>0.99570508231925559</v>
      </c>
      <c r="M29">
        <v>0.9669794925269376</v>
      </c>
    </row>
    <row r="30" spans="1:13" x14ac:dyDescent="0.35">
      <c r="A30" t="s">
        <v>13</v>
      </c>
      <c r="B30" t="s">
        <v>33</v>
      </c>
      <c r="C30" t="s">
        <v>15</v>
      </c>
      <c r="D30" t="s">
        <v>16</v>
      </c>
      <c r="F30">
        <v>32</v>
      </c>
      <c r="G30" t="s">
        <v>17</v>
      </c>
      <c r="H30">
        <v>1310</v>
      </c>
      <c r="I30">
        <v>426</v>
      </c>
      <c r="J30">
        <v>3</v>
      </c>
      <c r="K30">
        <v>0.75460829493087556</v>
      </c>
      <c r="L30">
        <v>0.99771515613099759</v>
      </c>
      <c r="M30">
        <v>0.85929813053460147</v>
      </c>
    </row>
    <row r="31" spans="1:13" x14ac:dyDescent="0.35">
      <c r="A31" t="s">
        <v>13</v>
      </c>
      <c r="B31" t="s">
        <v>33</v>
      </c>
      <c r="C31" t="s">
        <v>15</v>
      </c>
      <c r="D31" t="s">
        <v>18</v>
      </c>
      <c r="F31">
        <v>32</v>
      </c>
      <c r="G31" t="s">
        <v>19</v>
      </c>
      <c r="H31">
        <v>53</v>
      </c>
      <c r="I31">
        <v>51</v>
      </c>
      <c r="J31">
        <v>1260</v>
      </c>
      <c r="K31">
        <v>0.50961538461538458</v>
      </c>
      <c r="L31">
        <v>4.0365575019040298E-2</v>
      </c>
      <c r="M31">
        <v>7.4805928016937195E-2</v>
      </c>
    </row>
    <row r="32" spans="1:13" x14ac:dyDescent="0.35">
      <c r="A32" t="s">
        <v>13</v>
      </c>
      <c r="B32" t="s">
        <v>33</v>
      </c>
      <c r="C32" t="s">
        <v>15</v>
      </c>
      <c r="D32" t="s">
        <v>20</v>
      </c>
      <c r="E32" t="s">
        <v>21</v>
      </c>
      <c r="F32">
        <v>32</v>
      </c>
      <c r="G32" t="s">
        <v>17</v>
      </c>
      <c r="H32">
        <v>1299</v>
      </c>
      <c r="I32">
        <v>126</v>
      </c>
      <c r="J32">
        <v>14</v>
      </c>
      <c r="K32">
        <v>0.91157894736842104</v>
      </c>
      <c r="L32">
        <v>0.98933739527798936</v>
      </c>
      <c r="M32">
        <v>0.94886778670562444</v>
      </c>
    </row>
    <row r="33" spans="1:13" x14ac:dyDescent="0.35">
      <c r="A33" t="s">
        <v>13</v>
      </c>
      <c r="B33" t="s">
        <v>33</v>
      </c>
      <c r="C33" t="s">
        <v>15</v>
      </c>
      <c r="D33" t="s">
        <v>22</v>
      </c>
      <c r="E33" t="s">
        <v>23</v>
      </c>
      <c r="F33">
        <v>32</v>
      </c>
      <c r="G33" t="s">
        <v>17</v>
      </c>
      <c r="H33">
        <v>1304</v>
      </c>
      <c r="I33">
        <v>149</v>
      </c>
      <c r="J33">
        <v>9</v>
      </c>
      <c r="K33">
        <v>0.89745354439091529</v>
      </c>
      <c r="L33">
        <v>0.99314546839299322</v>
      </c>
      <c r="M33">
        <v>0.94287780187997094</v>
      </c>
    </row>
    <row r="34" spans="1:13" x14ac:dyDescent="0.35">
      <c r="A34" t="s">
        <v>13</v>
      </c>
      <c r="B34" t="s">
        <v>34</v>
      </c>
      <c r="C34" t="s">
        <v>15</v>
      </c>
      <c r="D34" t="s">
        <v>16</v>
      </c>
      <c r="F34">
        <v>32</v>
      </c>
      <c r="G34" t="s">
        <v>29</v>
      </c>
      <c r="H34">
        <v>1432</v>
      </c>
      <c r="I34">
        <v>539</v>
      </c>
      <c r="J34">
        <v>4</v>
      </c>
      <c r="K34">
        <v>0.72653475393201417</v>
      </c>
      <c r="L34">
        <v>0.99721448467966578</v>
      </c>
      <c r="M34">
        <v>0.84062224831229815</v>
      </c>
    </row>
    <row r="35" spans="1:13" x14ac:dyDescent="0.35">
      <c r="A35" t="s">
        <v>13</v>
      </c>
      <c r="B35" t="s">
        <v>34</v>
      </c>
      <c r="C35" t="s">
        <v>15</v>
      </c>
      <c r="D35" t="s">
        <v>18</v>
      </c>
      <c r="F35">
        <v>32</v>
      </c>
      <c r="G35" t="s">
        <v>35</v>
      </c>
      <c r="H35">
        <v>1158</v>
      </c>
      <c r="I35">
        <v>225</v>
      </c>
      <c r="J35">
        <v>278</v>
      </c>
      <c r="K35">
        <v>0.83731019522776573</v>
      </c>
      <c r="L35">
        <v>0.80640668523676884</v>
      </c>
      <c r="M35">
        <v>0.8215679318907414</v>
      </c>
    </row>
    <row r="36" spans="1:13" x14ac:dyDescent="0.35">
      <c r="A36" t="s">
        <v>13</v>
      </c>
      <c r="B36" t="s">
        <v>34</v>
      </c>
      <c r="C36" t="s">
        <v>15</v>
      </c>
      <c r="D36" t="s">
        <v>20</v>
      </c>
      <c r="E36" t="s">
        <v>21</v>
      </c>
      <c r="F36">
        <v>32</v>
      </c>
      <c r="G36" t="s">
        <v>29</v>
      </c>
      <c r="H36">
        <v>1398</v>
      </c>
      <c r="I36">
        <v>175</v>
      </c>
      <c r="J36">
        <v>38</v>
      </c>
      <c r="K36">
        <v>0.88874761602034325</v>
      </c>
      <c r="L36">
        <v>0.97353760445682436</v>
      </c>
      <c r="M36">
        <v>0.92921236291126619</v>
      </c>
    </row>
    <row r="37" spans="1:13" x14ac:dyDescent="0.35">
      <c r="A37" t="s">
        <v>13</v>
      </c>
      <c r="B37" t="s">
        <v>34</v>
      </c>
      <c r="C37" t="s">
        <v>15</v>
      </c>
      <c r="D37" t="s">
        <v>22</v>
      </c>
      <c r="E37" t="s">
        <v>23</v>
      </c>
      <c r="F37">
        <v>32</v>
      </c>
      <c r="G37" t="s">
        <v>29</v>
      </c>
      <c r="H37">
        <v>1412</v>
      </c>
      <c r="I37">
        <v>231</v>
      </c>
      <c r="J37">
        <v>24</v>
      </c>
      <c r="K37">
        <v>0.85940353012781501</v>
      </c>
      <c r="L37">
        <v>0.98328690807799435</v>
      </c>
      <c r="M37">
        <v>0.91718090289054877</v>
      </c>
    </row>
    <row r="38" spans="1:13" x14ac:dyDescent="0.35">
      <c r="A38" t="s">
        <v>13</v>
      </c>
      <c r="B38" t="s">
        <v>36</v>
      </c>
      <c r="C38" t="s">
        <v>15</v>
      </c>
      <c r="D38" t="s">
        <v>16</v>
      </c>
      <c r="F38">
        <v>32</v>
      </c>
      <c r="G38" t="s">
        <v>17</v>
      </c>
      <c r="H38">
        <v>743</v>
      </c>
      <c r="I38">
        <v>1048</v>
      </c>
      <c r="J38">
        <v>5</v>
      </c>
      <c r="K38">
        <v>0.41485203796761588</v>
      </c>
      <c r="L38">
        <v>0.99331550802139035</v>
      </c>
      <c r="M38">
        <v>0.58526979125640022</v>
      </c>
    </row>
    <row r="39" spans="1:13" x14ac:dyDescent="0.35">
      <c r="A39" t="s">
        <v>13</v>
      </c>
      <c r="B39" t="s">
        <v>36</v>
      </c>
      <c r="C39" t="s">
        <v>15</v>
      </c>
      <c r="D39" t="s">
        <v>18</v>
      </c>
      <c r="F39">
        <v>32</v>
      </c>
      <c r="G39" t="s">
        <v>17</v>
      </c>
      <c r="H39">
        <v>609</v>
      </c>
      <c r="I39">
        <v>266</v>
      </c>
      <c r="J39">
        <v>139</v>
      </c>
      <c r="K39">
        <v>0.69599999999999995</v>
      </c>
      <c r="L39">
        <v>0.81417112299465244</v>
      </c>
      <c r="M39">
        <v>0.75046210720887241</v>
      </c>
    </row>
    <row r="40" spans="1:13" x14ac:dyDescent="0.35">
      <c r="A40" t="s">
        <v>13</v>
      </c>
      <c r="B40" t="s">
        <v>36</v>
      </c>
      <c r="C40" t="s">
        <v>15</v>
      </c>
      <c r="D40" t="s">
        <v>20</v>
      </c>
      <c r="E40" t="s">
        <v>21</v>
      </c>
      <c r="F40">
        <v>32</v>
      </c>
      <c r="G40" t="s">
        <v>17</v>
      </c>
      <c r="H40">
        <v>592</v>
      </c>
      <c r="I40">
        <v>264</v>
      </c>
      <c r="J40">
        <v>156</v>
      </c>
      <c r="K40">
        <v>0.69158878504672894</v>
      </c>
      <c r="L40">
        <v>0.79144385026737973</v>
      </c>
      <c r="M40">
        <v>0.73815461346633426</v>
      </c>
    </row>
    <row r="41" spans="1:13" x14ac:dyDescent="0.35">
      <c r="A41" t="s">
        <v>13</v>
      </c>
      <c r="B41" t="s">
        <v>36</v>
      </c>
      <c r="C41" t="s">
        <v>15</v>
      </c>
      <c r="D41" t="s">
        <v>22</v>
      </c>
      <c r="E41" t="s">
        <v>23</v>
      </c>
      <c r="F41">
        <v>32</v>
      </c>
      <c r="G41" t="s">
        <v>17</v>
      </c>
      <c r="H41">
        <v>603</v>
      </c>
      <c r="I41">
        <v>270</v>
      </c>
      <c r="J41">
        <v>145</v>
      </c>
      <c r="K41">
        <v>0.69072164948453607</v>
      </c>
      <c r="L41">
        <v>0.80614973262032086</v>
      </c>
      <c r="M41">
        <v>0.74398519432449106</v>
      </c>
    </row>
    <row r="42" spans="1:13" x14ac:dyDescent="0.35">
      <c r="A42" t="s">
        <v>13</v>
      </c>
      <c r="B42" t="s">
        <v>37</v>
      </c>
      <c r="C42" t="s">
        <v>15</v>
      </c>
      <c r="D42" t="s">
        <v>16</v>
      </c>
      <c r="F42">
        <v>32</v>
      </c>
      <c r="G42" t="s">
        <v>17</v>
      </c>
      <c r="H42">
        <v>1821</v>
      </c>
      <c r="I42">
        <v>285</v>
      </c>
      <c r="J42">
        <v>8</v>
      </c>
      <c r="K42">
        <v>0.86467236467236464</v>
      </c>
      <c r="L42">
        <v>0.99562602515035536</v>
      </c>
      <c r="M42">
        <v>0.92554002541296043</v>
      </c>
    </row>
    <row r="43" spans="1:13" x14ac:dyDescent="0.35">
      <c r="A43" t="s">
        <v>13</v>
      </c>
      <c r="B43" t="s">
        <v>37</v>
      </c>
      <c r="C43" t="s">
        <v>15</v>
      </c>
      <c r="D43" t="s">
        <v>18</v>
      </c>
      <c r="F43">
        <v>32</v>
      </c>
      <c r="G43" t="s">
        <v>17</v>
      </c>
      <c r="H43">
        <v>1753</v>
      </c>
      <c r="I43">
        <v>160</v>
      </c>
      <c r="J43">
        <v>76</v>
      </c>
      <c r="K43">
        <v>0.91636173549398836</v>
      </c>
      <c r="L43">
        <v>0.95844723892837602</v>
      </c>
      <c r="M43">
        <v>0.93693212185996799</v>
      </c>
    </row>
    <row r="44" spans="1:13" x14ac:dyDescent="0.35">
      <c r="A44" t="s">
        <v>13</v>
      </c>
      <c r="B44" t="s">
        <v>37</v>
      </c>
      <c r="C44" t="s">
        <v>15</v>
      </c>
      <c r="D44" t="s">
        <v>20</v>
      </c>
      <c r="E44" t="s">
        <v>21</v>
      </c>
      <c r="F44">
        <v>32</v>
      </c>
      <c r="G44" t="s">
        <v>17</v>
      </c>
      <c r="H44">
        <v>1659</v>
      </c>
      <c r="I44">
        <v>96</v>
      </c>
      <c r="J44">
        <v>170</v>
      </c>
      <c r="K44">
        <v>0.94529914529914516</v>
      </c>
      <c r="L44">
        <v>0.90705303444505203</v>
      </c>
      <c r="M44">
        <v>0.92578125</v>
      </c>
    </row>
    <row r="45" spans="1:13" x14ac:dyDescent="0.35">
      <c r="A45" t="s">
        <v>13</v>
      </c>
      <c r="B45" t="s">
        <v>37</v>
      </c>
      <c r="C45" t="s">
        <v>15</v>
      </c>
      <c r="D45" t="s">
        <v>22</v>
      </c>
      <c r="E45" t="s">
        <v>23</v>
      </c>
      <c r="F45">
        <v>32</v>
      </c>
      <c r="G45" t="s">
        <v>17</v>
      </c>
      <c r="H45">
        <v>1701</v>
      </c>
      <c r="I45">
        <v>127</v>
      </c>
      <c r="J45">
        <v>128</v>
      </c>
      <c r="K45">
        <v>0.93052516411378561</v>
      </c>
      <c r="L45">
        <v>0.93001640240568617</v>
      </c>
      <c r="M45">
        <v>0.930270713699754</v>
      </c>
    </row>
    <row r="46" spans="1:13" x14ac:dyDescent="0.35">
      <c r="A46" t="s">
        <v>13</v>
      </c>
      <c r="B46" t="s">
        <v>38</v>
      </c>
      <c r="C46" t="s">
        <v>15</v>
      </c>
      <c r="D46" t="s">
        <v>16</v>
      </c>
      <c r="F46">
        <v>32</v>
      </c>
      <c r="G46" t="s">
        <v>29</v>
      </c>
      <c r="H46">
        <v>1074</v>
      </c>
      <c r="I46">
        <v>957</v>
      </c>
      <c r="J46">
        <v>13</v>
      </c>
      <c r="K46">
        <v>0.52880354505169869</v>
      </c>
      <c r="L46">
        <v>0.98804047838086484</v>
      </c>
      <c r="M46">
        <v>0.68890314304041056</v>
      </c>
    </row>
    <row r="47" spans="1:13" x14ac:dyDescent="0.35">
      <c r="A47" t="s">
        <v>13</v>
      </c>
      <c r="B47" t="s">
        <v>38</v>
      </c>
      <c r="C47" t="s">
        <v>15</v>
      </c>
      <c r="D47" t="s">
        <v>18</v>
      </c>
      <c r="F47">
        <v>32</v>
      </c>
      <c r="G47" t="s">
        <v>35</v>
      </c>
      <c r="H47">
        <v>797</v>
      </c>
      <c r="I47">
        <v>460</v>
      </c>
      <c r="J47">
        <v>290</v>
      </c>
      <c r="K47">
        <v>0.63404932378679391</v>
      </c>
      <c r="L47">
        <v>0.73321067157313713</v>
      </c>
      <c r="M47">
        <v>0.68003412969283272</v>
      </c>
    </row>
    <row r="48" spans="1:13" x14ac:dyDescent="0.35">
      <c r="A48" t="s">
        <v>13</v>
      </c>
      <c r="B48" t="s">
        <v>38</v>
      </c>
      <c r="C48" t="s">
        <v>15</v>
      </c>
      <c r="D48" t="s">
        <v>20</v>
      </c>
      <c r="E48" t="s">
        <v>21</v>
      </c>
      <c r="F48">
        <v>32</v>
      </c>
      <c r="G48" t="s">
        <v>29</v>
      </c>
      <c r="H48">
        <v>953</v>
      </c>
      <c r="I48">
        <v>406</v>
      </c>
      <c r="J48">
        <v>134</v>
      </c>
      <c r="K48">
        <v>0.70125091979396614</v>
      </c>
      <c r="L48">
        <v>0.87672493100275994</v>
      </c>
      <c r="M48">
        <v>0.77923139820114473</v>
      </c>
    </row>
    <row r="49" spans="1:13" x14ac:dyDescent="0.35">
      <c r="A49" t="s">
        <v>13</v>
      </c>
      <c r="B49" t="s">
        <v>38</v>
      </c>
      <c r="C49" t="s">
        <v>15</v>
      </c>
      <c r="D49" t="s">
        <v>22</v>
      </c>
      <c r="E49" t="s">
        <v>23</v>
      </c>
      <c r="F49">
        <v>32</v>
      </c>
      <c r="G49" t="s">
        <v>29</v>
      </c>
      <c r="H49">
        <v>976</v>
      </c>
      <c r="I49">
        <v>445</v>
      </c>
      <c r="J49">
        <v>111</v>
      </c>
      <c r="K49">
        <v>0.68684025334271637</v>
      </c>
      <c r="L49">
        <v>0.89788408463661451</v>
      </c>
      <c r="M49">
        <v>0.77830940988835717</v>
      </c>
    </row>
    <row r="50" spans="1:13" x14ac:dyDescent="0.35">
      <c r="A50" t="s">
        <v>13</v>
      </c>
      <c r="B50" t="s">
        <v>39</v>
      </c>
      <c r="C50" t="s">
        <v>15</v>
      </c>
      <c r="D50" t="s">
        <v>16</v>
      </c>
      <c r="F50">
        <v>32</v>
      </c>
      <c r="G50" t="s">
        <v>35</v>
      </c>
      <c r="H50">
        <v>463</v>
      </c>
      <c r="I50">
        <v>1017</v>
      </c>
      <c r="J50">
        <v>21</v>
      </c>
      <c r="K50">
        <v>0.31283783783783781</v>
      </c>
      <c r="L50">
        <v>0.95661157024793397</v>
      </c>
      <c r="M50">
        <v>0.47148676171079429</v>
      </c>
    </row>
    <row r="51" spans="1:13" x14ac:dyDescent="0.35">
      <c r="A51" t="s">
        <v>13</v>
      </c>
      <c r="B51" t="s">
        <v>39</v>
      </c>
      <c r="C51" t="s">
        <v>15</v>
      </c>
      <c r="D51" t="s">
        <v>18</v>
      </c>
      <c r="F51">
        <v>32</v>
      </c>
      <c r="G51" t="s">
        <v>19</v>
      </c>
      <c r="H51">
        <v>383</v>
      </c>
      <c r="I51">
        <v>809</v>
      </c>
      <c r="J51">
        <v>101</v>
      </c>
      <c r="K51">
        <v>0.32130872483221479</v>
      </c>
      <c r="L51">
        <v>0.79132231404958675</v>
      </c>
      <c r="M51">
        <v>0.45704057279236271</v>
      </c>
    </row>
    <row r="52" spans="1:13" x14ac:dyDescent="0.35">
      <c r="A52" t="s">
        <v>13</v>
      </c>
      <c r="B52" t="s">
        <v>39</v>
      </c>
      <c r="C52" t="s">
        <v>15</v>
      </c>
      <c r="D52" t="s">
        <v>20</v>
      </c>
      <c r="E52" t="s">
        <v>21</v>
      </c>
      <c r="F52">
        <v>32</v>
      </c>
      <c r="G52" t="s">
        <v>17</v>
      </c>
      <c r="H52">
        <v>474</v>
      </c>
      <c r="I52">
        <v>428</v>
      </c>
      <c r="J52">
        <v>10</v>
      </c>
      <c r="K52">
        <v>0.5254988913525499</v>
      </c>
      <c r="L52">
        <v>0.97933884297520657</v>
      </c>
      <c r="M52">
        <v>0.68398268398268391</v>
      </c>
    </row>
    <row r="53" spans="1:13" x14ac:dyDescent="0.35">
      <c r="A53" t="s">
        <v>13</v>
      </c>
      <c r="B53" t="s">
        <v>39</v>
      </c>
      <c r="C53" t="s">
        <v>15</v>
      </c>
      <c r="D53" t="s">
        <v>22</v>
      </c>
      <c r="E53" t="s">
        <v>23</v>
      </c>
      <c r="F53">
        <v>32</v>
      </c>
      <c r="G53" t="s">
        <v>17</v>
      </c>
      <c r="H53">
        <v>475</v>
      </c>
      <c r="I53">
        <v>452</v>
      </c>
      <c r="J53">
        <v>9</v>
      </c>
      <c r="K53">
        <v>0.51240560949298808</v>
      </c>
      <c r="L53">
        <v>0.98140495867768596</v>
      </c>
      <c r="M53">
        <v>0.6732813607370659</v>
      </c>
    </row>
    <row r="54" spans="1:13" x14ac:dyDescent="0.35">
      <c r="A54" t="s">
        <v>13</v>
      </c>
      <c r="B54" t="s">
        <v>40</v>
      </c>
      <c r="C54" t="s">
        <v>15</v>
      </c>
      <c r="D54" t="s">
        <v>16</v>
      </c>
      <c r="F54">
        <v>32</v>
      </c>
      <c r="G54" t="s">
        <v>17</v>
      </c>
      <c r="H54">
        <v>947</v>
      </c>
      <c r="I54">
        <v>822</v>
      </c>
      <c r="J54">
        <v>10</v>
      </c>
      <c r="K54">
        <v>0.53533069530808364</v>
      </c>
      <c r="L54">
        <v>0.9895506792058516</v>
      </c>
      <c r="M54">
        <v>0.69479090242112984</v>
      </c>
    </row>
    <row r="55" spans="1:13" x14ac:dyDescent="0.35">
      <c r="A55" t="s">
        <v>13</v>
      </c>
      <c r="B55" t="s">
        <v>40</v>
      </c>
      <c r="C55" t="s">
        <v>15</v>
      </c>
      <c r="D55" t="s">
        <v>18</v>
      </c>
      <c r="F55">
        <v>32</v>
      </c>
      <c r="G55" t="s">
        <v>17</v>
      </c>
      <c r="H55">
        <v>854</v>
      </c>
      <c r="I55">
        <v>165</v>
      </c>
      <c r="J55">
        <v>103</v>
      </c>
      <c r="K55">
        <v>0.83807654563297351</v>
      </c>
      <c r="L55">
        <v>0.89237199582027171</v>
      </c>
      <c r="M55">
        <v>0.86437246963562753</v>
      </c>
    </row>
    <row r="56" spans="1:13" x14ac:dyDescent="0.35">
      <c r="A56" t="s">
        <v>13</v>
      </c>
      <c r="B56" t="s">
        <v>40</v>
      </c>
      <c r="C56" t="s">
        <v>15</v>
      </c>
      <c r="D56" t="s">
        <v>20</v>
      </c>
      <c r="E56" t="s">
        <v>21</v>
      </c>
      <c r="F56">
        <v>32</v>
      </c>
      <c r="G56" t="s">
        <v>29</v>
      </c>
      <c r="H56">
        <v>825</v>
      </c>
      <c r="I56">
        <v>299</v>
      </c>
      <c r="J56">
        <v>132</v>
      </c>
      <c r="K56">
        <v>0.73398576512455516</v>
      </c>
      <c r="L56">
        <v>0.86206896551724133</v>
      </c>
      <c r="M56">
        <v>0.79288803459875057</v>
      </c>
    </row>
    <row r="57" spans="1:13" x14ac:dyDescent="0.35">
      <c r="A57" t="s">
        <v>13</v>
      </c>
      <c r="B57" t="s">
        <v>40</v>
      </c>
      <c r="C57" t="s">
        <v>15</v>
      </c>
      <c r="D57" t="s">
        <v>22</v>
      </c>
      <c r="E57" t="s">
        <v>23</v>
      </c>
      <c r="F57">
        <v>32</v>
      </c>
      <c r="G57" t="s">
        <v>29</v>
      </c>
      <c r="H57">
        <v>844</v>
      </c>
      <c r="I57">
        <v>344</v>
      </c>
      <c r="J57">
        <v>113</v>
      </c>
      <c r="K57">
        <v>0.71043771043771042</v>
      </c>
      <c r="L57">
        <v>0.88192267502612331</v>
      </c>
      <c r="M57">
        <v>0.78694638694638697</v>
      </c>
    </row>
    <row r="58" spans="1:13" x14ac:dyDescent="0.35">
      <c r="A58" t="s">
        <v>13</v>
      </c>
      <c r="B58" t="s">
        <v>41</v>
      </c>
      <c r="C58" t="s">
        <v>15</v>
      </c>
      <c r="D58" t="s">
        <v>16</v>
      </c>
      <c r="F58">
        <v>32</v>
      </c>
      <c r="G58" t="s">
        <v>17</v>
      </c>
      <c r="H58">
        <v>1640</v>
      </c>
      <c r="I58">
        <v>410</v>
      </c>
      <c r="J58">
        <v>3</v>
      </c>
      <c r="K58">
        <v>0.8</v>
      </c>
      <c r="L58">
        <v>0.99817407181984164</v>
      </c>
      <c r="M58">
        <v>0.8881668020579474</v>
      </c>
    </row>
    <row r="59" spans="1:13" x14ac:dyDescent="0.35">
      <c r="A59" t="s">
        <v>13</v>
      </c>
      <c r="B59" t="s">
        <v>41</v>
      </c>
      <c r="C59" t="s">
        <v>15</v>
      </c>
      <c r="D59" t="s">
        <v>18</v>
      </c>
      <c r="F59">
        <v>32</v>
      </c>
      <c r="G59" t="s">
        <v>29</v>
      </c>
      <c r="H59">
        <v>240</v>
      </c>
      <c r="I59">
        <v>300</v>
      </c>
      <c r="J59">
        <v>1403</v>
      </c>
      <c r="K59">
        <v>0.44444444444444442</v>
      </c>
      <c r="L59">
        <v>0.1460742544126597</v>
      </c>
      <c r="M59">
        <v>0.21988089784699949</v>
      </c>
    </row>
    <row r="60" spans="1:13" x14ac:dyDescent="0.35">
      <c r="A60" t="s">
        <v>13</v>
      </c>
      <c r="B60" t="s">
        <v>41</v>
      </c>
      <c r="C60" t="s">
        <v>15</v>
      </c>
      <c r="D60" t="s">
        <v>20</v>
      </c>
      <c r="E60" t="s">
        <v>21</v>
      </c>
      <c r="F60">
        <v>32</v>
      </c>
      <c r="G60" t="s">
        <v>19</v>
      </c>
      <c r="H60">
        <v>1553</v>
      </c>
      <c r="I60">
        <v>184</v>
      </c>
      <c r="J60">
        <v>90</v>
      </c>
      <c r="K60">
        <v>0.89407023603914793</v>
      </c>
      <c r="L60">
        <v>0.94522215459525261</v>
      </c>
      <c r="M60">
        <v>0.91893491124260362</v>
      </c>
    </row>
    <row r="61" spans="1:13" x14ac:dyDescent="0.35">
      <c r="A61" t="s">
        <v>13</v>
      </c>
      <c r="B61" t="s">
        <v>41</v>
      </c>
      <c r="C61" t="s">
        <v>15</v>
      </c>
      <c r="D61" t="s">
        <v>22</v>
      </c>
      <c r="E61" t="s">
        <v>23</v>
      </c>
      <c r="F61">
        <v>32</v>
      </c>
      <c r="G61" t="s">
        <v>19</v>
      </c>
      <c r="H61">
        <v>1569</v>
      </c>
      <c r="I61">
        <v>238</v>
      </c>
      <c r="J61">
        <v>74</v>
      </c>
      <c r="K61">
        <v>0.86828998339789709</v>
      </c>
      <c r="L61">
        <v>0.95496043822276322</v>
      </c>
      <c r="M61">
        <v>0.90956521739130436</v>
      </c>
    </row>
    <row r="62" spans="1:13" x14ac:dyDescent="0.35">
      <c r="A62" t="s">
        <v>13</v>
      </c>
      <c r="B62" t="s">
        <v>42</v>
      </c>
      <c r="C62" t="s">
        <v>15</v>
      </c>
      <c r="D62" t="s">
        <v>16</v>
      </c>
      <c r="F62">
        <v>32</v>
      </c>
      <c r="G62" t="s">
        <v>17</v>
      </c>
      <c r="H62">
        <v>2760</v>
      </c>
      <c r="I62">
        <v>675</v>
      </c>
      <c r="J62">
        <v>48</v>
      </c>
      <c r="K62">
        <v>0.80349344978165937</v>
      </c>
      <c r="L62">
        <v>0.98290598290598274</v>
      </c>
      <c r="M62">
        <v>0.88419029312830366</v>
      </c>
    </row>
    <row r="63" spans="1:13" x14ac:dyDescent="0.35">
      <c r="A63" t="s">
        <v>13</v>
      </c>
      <c r="B63" t="s">
        <v>42</v>
      </c>
      <c r="C63" t="s">
        <v>15</v>
      </c>
      <c r="D63" t="s">
        <v>18</v>
      </c>
      <c r="F63">
        <v>32</v>
      </c>
      <c r="G63" t="s">
        <v>43</v>
      </c>
      <c r="H63">
        <v>1867</v>
      </c>
      <c r="I63">
        <v>1043</v>
      </c>
      <c r="J63">
        <v>941</v>
      </c>
      <c r="K63">
        <v>0.64158075601374576</v>
      </c>
      <c r="L63">
        <v>0.66488603988603989</v>
      </c>
      <c r="M63">
        <v>0.65302553340328795</v>
      </c>
    </row>
    <row r="64" spans="1:13" x14ac:dyDescent="0.35">
      <c r="A64" t="s">
        <v>13</v>
      </c>
      <c r="B64" t="s">
        <v>42</v>
      </c>
      <c r="C64" t="s">
        <v>15</v>
      </c>
      <c r="D64" t="s">
        <v>20</v>
      </c>
      <c r="E64" t="s">
        <v>21</v>
      </c>
      <c r="F64">
        <v>32</v>
      </c>
      <c r="G64" t="s">
        <v>17</v>
      </c>
      <c r="H64">
        <v>1588</v>
      </c>
      <c r="I64">
        <v>227</v>
      </c>
      <c r="J64">
        <v>1220</v>
      </c>
      <c r="K64">
        <v>0.87493112947658402</v>
      </c>
      <c r="L64">
        <v>0.56552706552706555</v>
      </c>
      <c r="M64">
        <v>0.68699978369024439</v>
      </c>
    </row>
    <row r="65" spans="1:13" x14ac:dyDescent="0.35">
      <c r="A65" t="s">
        <v>13</v>
      </c>
      <c r="B65" t="s">
        <v>42</v>
      </c>
      <c r="C65" t="s">
        <v>15</v>
      </c>
      <c r="D65" t="s">
        <v>22</v>
      </c>
      <c r="E65" t="s">
        <v>23</v>
      </c>
      <c r="F65">
        <v>32</v>
      </c>
      <c r="G65" t="s">
        <v>17</v>
      </c>
      <c r="H65">
        <v>1919</v>
      </c>
      <c r="I65">
        <v>279</v>
      </c>
      <c r="J65">
        <v>889</v>
      </c>
      <c r="K65">
        <v>0.87306642402183798</v>
      </c>
      <c r="L65">
        <v>0.68340455840455838</v>
      </c>
      <c r="M65">
        <v>0.76667998401917703</v>
      </c>
    </row>
    <row r="66" spans="1:13" x14ac:dyDescent="0.35">
      <c r="A66" t="s">
        <v>13</v>
      </c>
      <c r="B66" t="s">
        <v>44</v>
      </c>
      <c r="C66" t="s">
        <v>15</v>
      </c>
      <c r="D66" t="s">
        <v>16</v>
      </c>
      <c r="F66">
        <v>32</v>
      </c>
      <c r="G66" t="s">
        <v>17</v>
      </c>
      <c r="H66">
        <v>2885</v>
      </c>
      <c r="I66">
        <v>431</v>
      </c>
      <c r="J66">
        <v>18</v>
      </c>
      <c r="K66">
        <v>0.87002412545235219</v>
      </c>
      <c r="L66">
        <v>0.99379951774026865</v>
      </c>
      <c r="M66">
        <v>0.92780189741115915</v>
      </c>
    </row>
    <row r="67" spans="1:13" x14ac:dyDescent="0.35">
      <c r="A67" t="s">
        <v>13</v>
      </c>
      <c r="B67" t="s">
        <v>44</v>
      </c>
      <c r="C67" t="s">
        <v>15</v>
      </c>
      <c r="D67" t="s">
        <v>18</v>
      </c>
      <c r="F67">
        <v>32</v>
      </c>
      <c r="G67" t="s">
        <v>29</v>
      </c>
      <c r="H67">
        <v>2499</v>
      </c>
      <c r="I67">
        <v>226</v>
      </c>
      <c r="J67">
        <v>404</v>
      </c>
      <c r="K67">
        <v>0.91706422018348621</v>
      </c>
      <c r="L67">
        <v>0.86083362039269717</v>
      </c>
      <c r="M67">
        <v>0.88805970149253732</v>
      </c>
    </row>
    <row r="68" spans="1:13" x14ac:dyDescent="0.35">
      <c r="A68" t="s">
        <v>13</v>
      </c>
      <c r="B68" t="s">
        <v>44</v>
      </c>
      <c r="C68" t="s">
        <v>15</v>
      </c>
      <c r="D68" t="s">
        <v>20</v>
      </c>
      <c r="E68" t="s">
        <v>21</v>
      </c>
      <c r="F68">
        <v>32</v>
      </c>
      <c r="G68" t="s">
        <v>29</v>
      </c>
      <c r="H68">
        <v>1624</v>
      </c>
      <c r="I68">
        <v>42</v>
      </c>
      <c r="J68">
        <v>1279</v>
      </c>
      <c r="K68">
        <v>0.97478991596638642</v>
      </c>
      <c r="L68">
        <v>0.5594212883224251</v>
      </c>
      <c r="M68">
        <v>0.7108776537535566</v>
      </c>
    </row>
    <row r="69" spans="1:13" x14ac:dyDescent="0.35">
      <c r="A69" t="s">
        <v>13</v>
      </c>
      <c r="B69" t="s">
        <v>44</v>
      </c>
      <c r="C69" t="s">
        <v>15</v>
      </c>
      <c r="D69" t="s">
        <v>22</v>
      </c>
      <c r="E69" t="s">
        <v>23</v>
      </c>
      <c r="F69">
        <v>32</v>
      </c>
      <c r="G69" t="s">
        <v>29</v>
      </c>
      <c r="H69">
        <v>2109</v>
      </c>
      <c r="I69">
        <v>74</v>
      </c>
      <c r="J69">
        <v>794</v>
      </c>
      <c r="K69">
        <v>0.96610169491525422</v>
      </c>
      <c r="L69">
        <v>0.72648983809851875</v>
      </c>
      <c r="M69">
        <v>0.82933543059378678</v>
      </c>
    </row>
    <row r="70" spans="1:13" x14ac:dyDescent="0.35">
      <c r="A70" t="s">
        <v>13</v>
      </c>
      <c r="B70" t="s">
        <v>45</v>
      </c>
      <c r="C70" t="s">
        <v>15</v>
      </c>
      <c r="D70" t="s">
        <v>16</v>
      </c>
      <c r="F70">
        <v>32</v>
      </c>
      <c r="G70" t="s">
        <v>28</v>
      </c>
      <c r="H70">
        <v>348</v>
      </c>
      <c r="I70">
        <v>1506</v>
      </c>
      <c r="J70">
        <v>34</v>
      </c>
      <c r="K70">
        <v>0.18770226537216819</v>
      </c>
      <c r="L70">
        <v>0.91099476439790561</v>
      </c>
      <c r="M70">
        <v>0.31127012522361358</v>
      </c>
    </row>
    <row r="71" spans="1:13" x14ac:dyDescent="0.35">
      <c r="A71" t="s">
        <v>13</v>
      </c>
      <c r="B71" t="s">
        <v>45</v>
      </c>
      <c r="C71" t="s">
        <v>15</v>
      </c>
      <c r="D71" t="s">
        <v>18</v>
      </c>
      <c r="F71">
        <v>32</v>
      </c>
      <c r="G71" t="s">
        <v>19</v>
      </c>
      <c r="H71">
        <v>315</v>
      </c>
      <c r="I71">
        <v>698</v>
      </c>
      <c r="J71">
        <v>67</v>
      </c>
      <c r="K71">
        <v>0.31095755182625862</v>
      </c>
      <c r="L71">
        <v>0.82460732984293195</v>
      </c>
      <c r="M71">
        <v>0.45161290322580638</v>
      </c>
    </row>
    <row r="72" spans="1:13" x14ac:dyDescent="0.35">
      <c r="A72" t="s">
        <v>13</v>
      </c>
      <c r="B72" t="s">
        <v>45</v>
      </c>
      <c r="C72" t="s">
        <v>15</v>
      </c>
      <c r="D72" t="s">
        <v>20</v>
      </c>
      <c r="E72" t="s">
        <v>21</v>
      </c>
      <c r="F72">
        <v>32</v>
      </c>
      <c r="G72" t="s">
        <v>17</v>
      </c>
      <c r="H72">
        <v>372</v>
      </c>
      <c r="I72">
        <v>469</v>
      </c>
      <c r="J72">
        <v>10</v>
      </c>
      <c r="K72">
        <v>0.44233055885850181</v>
      </c>
      <c r="L72">
        <v>0.97382198952879584</v>
      </c>
      <c r="M72">
        <v>0.60834014717906792</v>
      </c>
    </row>
    <row r="73" spans="1:13" x14ac:dyDescent="0.35">
      <c r="A73" t="s">
        <v>13</v>
      </c>
      <c r="B73" t="s">
        <v>45</v>
      </c>
      <c r="C73" t="s">
        <v>15</v>
      </c>
      <c r="D73" t="s">
        <v>22</v>
      </c>
      <c r="E73" t="s">
        <v>23</v>
      </c>
      <c r="F73">
        <v>32</v>
      </c>
      <c r="G73" t="s">
        <v>17</v>
      </c>
      <c r="H73">
        <v>372</v>
      </c>
      <c r="I73">
        <v>479</v>
      </c>
      <c r="J73">
        <v>10</v>
      </c>
      <c r="K73">
        <v>0.43713278495887192</v>
      </c>
      <c r="L73">
        <v>0.97382198952879584</v>
      </c>
      <c r="M73">
        <v>0.60340632603406319</v>
      </c>
    </row>
    <row r="74" spans="1:13" x14ac:dyDescent="0.35">
      <c r="A74" t="s">
        <v>13</v>
      </c>
      <c r="B74" t="s">
        <v>46</v>
      </c>
      <c r="C74" t="s">
        <v>15</v>
      </c>
      <c r="D74" t="s">
        <v>16</v>
      </c>
      <c r="F74">
        <v>32</v>
      </c>
      <c r="G74" t="s">
        <v>29</v>
      </c>
      <c r="H74">
        <v>1867</v>
      </c>
      <c r="I74">
        <v>442</v>
      </c>
      <c r="J74">
        <v>32</v>
      </c>
      <c r="K74">
        <v>0.80857514075357295</v>
      </c>
      <c r="L74">
        <v>0.98314902580305419</v>
      </c>
      <c r="M74">
        <v>0.88735741444866922</v>
      </c>
    </row>
    <row r="75" spans="1:13" x14ac:dyDescent="0.35">
      <c r="A75" t="s">
        <v>13</v>
      </c>
      <c r="B75" t="s">
        <v>46</v>
      </c>
      <c r="C75" t="s">
        <v>15</v>
      </c>
      <c r="D75" t="s">
        <v>18</v>
      </c>
      <c r="F75">
        <v>32</v>
      </c>
      <c r="G75" t="s">
        <v>17</v>
      </c>
      <c r="H75">
        <v>1560</v>
      </c>
      <c r="I75">
        <v>32</v>
      </c>
      <c r="J75">
        <v>339</v>
      </c>
      <c r="K75">
        <v>0.97989949748743721</v>
      </c>
      <c r="L75">
        <v>0.82148499210110582</v>
      </c>
      <c r="M75">
        <v>0.8937267258665138</v>
      </c>
    </row>
    <row r="76" spans="1:13" x14ac:dyDescent="0.35">
      <c r="A76" t="s">
        <v>13</v>
      </c>
      <c r="B76" t="s">
        <v>46</v>
      </c>
      <c r="C76" t="s">
        <v>15</v>
      </c>
      <c r="D76" t="s">
        <v>20</v>
      </c>
      <c r="E76" t="s">
        <v>21</v>
      </c>
      <c r="F76">
        <v>32</v>
      </c>
      <c r="G76" t="s">
        <v>17</v>
      </c>
      <c r="H76">
        <v>1668</v>
      </c>
      <c r="I76">
        <v>59</v>
      </c>
      <c r="J76">
        <v>231</v>
      </c>
      <c r="K76">
        <v>0.96583671105964097</v>
      </c>
      <c r="L76">
        <v>0.87835703001579779</v>
      </c>
      <c r="M76">
        <v>0.92002206287920563</v>
      </c>
    </row>
    <row r="77" spans="1:13" x14ac:dyDescent="0.35">
      <c r="A77" t="s">
        <v>13</v>
      </c>
      <c r="B77" t="s">
        <v>46</v>
      </c>
      <c r="C77" t="s">
        <v>15</v>
      </c>
      <c r="D77" t="s">
        <v>22</v>
      </c>
      <c r="E77" t="s">
        <v>23</v>
      </c>
      <c r="F77">
        <v>32</v>
      </c>
      <c r="G77" t="s">
        <v>17</v>
      </c>
      <c r="H77">
        <v>1696</v>
      </c>
      <c r="I77">
        <v>66</v>
      </c>
      <c r="J77">
        <v>203</v>
      </c>
      <c r="K77">
        <v>0.96254256526674242</v>
      </c>
      <c r="L77">
        <v>0.89310163243812535</v>
      </c>
      <c r="M77">
        <v>0.92652280797596276</v>
      </c>
    </row>
    <row r="78" spans="1:13" x14ac:dyDescent="0.35">
      <c r="A78" t="s">
        <v>13</v>
      </c>
      <c r="B78" t="s">
        <v>47</v>
      </c>
      <c r="C78" t="s">
        <v>15</v>
      </c>
      <c r="D78" t="s">
        <v>16</v>
      </c>
      <c r="F78">
        <v>32</v>
      </c>
      <c r="G78" t="s">
        <v>17</v>
      </c>
      <c r="H78">
        <v>2158</v>
      </c>
      <c r="I78">
        <v>391</v>
      </c>
      <c r="J78">
        <v>4</v>
      </c>
      <c r="K78">
        <v>0.84660651235778739</v>
      </c>
      <c r="L78">
        <v>0.99814986123959282</v>
      </c>
      <c r="M78">
        <v>0.91615368286987897</v>
      </c>
    </row>
    <row r="79" spans="1:13" x14ac:dyDescent="0.35">
      <c r="A79" t="s">
        <v>13</v>
      </c>
      <c r="B79" t="s">
        <v>47</v>
      </c>
      <c r="C79" t="s">
        <v>15</v>
      </c>
      <c r="D79" t="s">
        <v>18</v>
      </c>
      <c r="F79">
        <v>32</v>
      </c>
      <c r="G79" t="s">
        <v>29</v>
      </c>
      <c r="H79">
        <v>2123</v>
      </c>
      <c r="I79">
        <v>197</v>
      </c>
      <c r="J79">
        <v>39</v>
      </c>
      <c r="K79">
        <v>0.91508620689655162</v>
      </c>
      <c r="L79">
        <v>0.98196114708603144</v>
      </c>
      <c r="M79">
        <v>0.94734493529674257</v>
      </c>
    </row>
    <row r="80" spans="1:13" x14ac:dyDescent="0.35">
      <c r="A80" t="s">
        <v>13</v>
      </c>
      <c r="B80" t="s">
        <v>47</v>
      </c>
      <c r="C80" t="s">
        <v>15</v>
      </c>
      <c r="D80" t="s">
        <v>20</v>
      </c>
      <c r="E80" t="s">
        <v>21</v>
      </c>
      <c r="F80">
        <v>32</v>
      </c>
      <c r="G80" t="s">
        <v>29</v>
      </c>
      <c r="H80">
        <v>2100</v>
      </c>
      <c r="I80">
        <v>173</v>
      </c>
      <c r="J80">
        <v>62</v>
      </c>
      <c r="K80">
        <v>0.92388913330400357</v>
      </c>
      <c r="L80">
        <v>0.97132284921369105</v>
      </c>
      <c r="M80">
        <v>0.94701240135287501</v>
      </c>
    </row>
    <row r="81" spans="1:13" x14ac:dyDescent="0.35">
      <c r="A81" t="s">
        <v>13</v>
      </c>
      <c r="B81" t="s">
        <v>47</v>
      </c>
      <c r="C81" t="s">
        <v>15</v>
      </c>
      <c r="D81" t="s">
        <v>22</v>
      </c>
      <c r="E81" t="s">
        <v>23</v>
      </c>
      <c r="F81">
        <v>32</v>
      </c>
      <c r="G81" t="s">
        <v>29</v>
      </c>
      <c r="H81">
        <v>2121</v>
      </c>
      <c r="I81">
        <v>195</v>
      </c>
      <c r="J81">
        <v>41</v>
      </c>
      <c r="K81">
        <v>0.91580310880829019</v>
      </c>
      <c r="L81">
        <v>0.98103607770582801</v>
      </c>
      <c r="M81">
        <v>0.94729790084859322</v>
      </c>
    </row>
    <row r="82" spans="1:13" x14ac:dyDescent="0.35">
      <c r="A82" t="s">
        <v>13</v>
      </c>
      <c r="B82" t="s">
        <v>48</v>
      </c>
      <c r="C82" t="s">
        <v>15</v>
      </c>
      <c r="D82" t="s">
        <v>16</v>
      </c>
      <c r="F82">
        <v>32</v>
      </c>
      <c r="G82" t="s">
        <v>17</v>
      </c>
      <c r="H82">
        <v>2468</v>
      </c>
      <c r="I82">
        <v>762</v>
      </c>
      <c r="J82">
        <v>5</v>
      </c>
      <c r="K82">
        <v>0.76408668730650153</v>
      </c>
      <c r="L82">
        <v>0.99797816417306917</v>
      </c>
      <c r="M82">
        <v>0.86550938102752939</v>
      </c>
    </row>
    <row r="83" spans="1:13" x14ac:dyDescent="0.35">
      <c r="A83" t="s">
        <v>13</v>
      </c>
      <c r="B83" t="s">
        <v>48</v>
      </c>
      <c r="C83" t="s">
        <v>15</v>
      </c>
      <c r="D83" t="s">
        <v>18</v>
      </c>
      <c r="F83">
        <v>32</v>
      </c>
      <c r="G83" t="s">
        <v>49</v>
      </c>
      <c r="H83">
        <v>25</v>
      </c>
      <c r="I83">
        <v>240</v>
      </c>
      <c r="J83">
        <v>2448</v>
      </c>
      <c r="K83">
        <v>9.4339622641509399E-2</v>
      </c>
      <c r="L83">
        <v>1.01091791346542E-2</v>
      </c>
      <c r="M83">
        <v>1.8261504747991202E-2</v>
      </c>
    </row>
    <row r="84" spans="1:13" x14ac:dyDescent="0.35">
      <c r="A84" t="s">
        <v>13</v>
      </c>
      <c r="B84" t="s">
        <v>48</v>
      </c>
      <c r="C84" t="s">
        <v>15</v>
      </c>
      <c r="D84" t="s">
        <v>20</v>
      </c>
      <c r="E84" t="s">
        <v>21</v>
      </c>
      <c r="F84">
        <v>32</v>
      </c>
      <c r="G84" t="s">
        <v>17</v>
      </c>
      <c r="H84">
        <v>2397</v>
      </c>
      <c r="I84">
        <v>317</v>
      </c>
      <c r="J84">
        <v>76</v>
      </c>
      <c r="K84">
        <v>0.8831982313927782</v>
      </c>
      <c r="L84">
        <v>0.96926809543065118</v>
      </c>
      <c r="M84">
        <v>0.92423366107576643</v>
      </c>
    </row>
    <row r="85" spans="1:13" x14ac:dyDescent="0.35">
      <c r="A85" t="s">
        <v>13</v>
      </c>
      <c r="B85" t="s">
        <v>48</v>
      </c>
      <c r="C85" t="s">
        <v>15</v>
      </c>
      <c r="D85" t="s">
        <v>22</v>
      </c>
      <c r="E85" t="s">
        <v>23</v>
      </c>
      <c r="F85">
        <v>32</v>
      </c>
      <c r="G85" t="s">
        <v>17</v>
      </c>
      <c r="H85">
        <v>2423</v>
      </c>
      <c r="I85">
        <v>365</v>
      </c>
      <c r="J85">
        <v>50</v>
      </c>
      <c r="K85">
        <v>0.8690817790530847</v>
      </c>
      <c r="L85">
        <v>0.9797816417306916</v>
      </c>
      <c r="M85">
        <v>0.92111765823987835</v>
      </c>
    </row>
    <row r="86" spans="1:13" x14ac:dyDescent="0.35">
      <c r="A86" t="s">
        <v>13</v>
      </c>
      <c r="B86" t="s">
        <v>50</v>
      </c>
      <c r="C86" t="s">
        <v>15</v>
      </c>
      <c r="D86" t="s">
        <v>16</v>
      </c>
      <c r="F86">
        <v>32</v>
      </c>
      <c r="G86" t="s">
        <v>17</v>
      </c>
      <c r="H86">
        <v>2167</v>
      </c>
      <c r="I86">
        <v>28</v>
      </c>
      <c r="J86">
        <v>0</v>
      </c>
      <c r="K86">
        <v>0.98724373576309798</v>
      </c>
      <c r="L86">
        <v>1</v>
      </c>
      <c r="M86">
        <v>0.99358092618065119</v>
      </c>
    </row>
    <row r="87" spans="1:13" x14ac:dyDescent="0.35">
      <c r="A87" t="s">
        <v>13</v>
      </c>
      <c r="B87" t="s">
        <v>50</v>
      </c>
      <c r="C87" t="s">
        <v>15</v>
      </c>
      <c r="D87" t="s">
        <v>18</v>
      </c>
      <c r="F87">
        <v>32</v>
      </c>
      <c r="G87" t="s">
        <v>29</v>
      </c>
      <c r="H87">
        <v>2165</v>
      </c>
      <c r="I87">
        <v>64</v>
      </c>
      <c r="J87">
        <v>2</v>
      </c>
      <c r="K87">
        <v>0.97128757290264678</v>
      </c>
      <c r="L87">
        <v>0.99907706506691285</v>
      </c>
      <c r="M87">
        <v>0.9849863512283894</v>
      </c>
    </row>
    <row r="88" spans="1:13" x14ac:dyDescent="0.35">
      <c r="A88" t="s">
        <v>13</v>
      </c>
      <c r="B88" t="s">
        <v>50</v>
      </c>
      <c r="C88" t="s">
        <v>15</v>
      </c>
      <c r="D88" t="s">
        <v>20</v>
      </c>
      <c r="E88" t="s">
        <v>21</v>
      </c>
      <c r="F88">
        <v>32</v>
      </c>
      <c r="G88" t="s">
        <v>17</v>
      </c>
      <c r="H88">
        <v>2132</v>
      </c>
      <c r="I88">
        <v>24</v>
      </c>
      <c r="J88">
        <v>35</v>
      </c>
      <c r="K88">
        <v>0.98886827458256044</v>
      </c>
      <c r="L88">
        <v>0.98384863867097361</v>
      </c>
      <c r="M88">
        <v>0.98635207032153605</v>
      </c>
    </row>
    <row r="89" spans="1:13" x14ac:dyDescent="0.35">
      <c r="A89" t="s">
        <v>13</v>
      </c>
      <c r="B89" t="s">
        <v>50</v>
      </c>
      <c r="C89" t="s">
        <v>15</v>
      </c>
      <c r="D89" t="s">
        <v>22</v>
      </c>
      <c r="E89" t="s">
        <v>23</v>
      </c>
      <c r="F89">
        <v>32</v>
      </c>
      <c r="G89" t="s">
        <v>17</v>
      </c>
      <c r="H89">
        <v>2151</v>
      </c>
      <c r="I89">
        <v>29</v>
      </c>
      <c r="J89">
        <v>16</v>
      </c>
      <c r="K89">
        <v>0.98669724770642198</v>
      </c>
      <c r="L89">
        <v>0.99261652053530225</v>
      </c>
      <c r="M89">
        <v>0.98964803312629401</v>
      </c>
    </row>
    <row r="90" spans="1:13" x14ac:dyDescent="0.35">
      <c r="A90" t="s">
        <v>13</v>
      </c>
      <c r="B90" t="s">
        <v>51</v>
      </c>
      <c r="C90" t="s">
        <v>15</v>
      </c>
      <c r="D90" t="s">
        <v>16</v>
      </c>
      <c r="F90">
        <v>32</v>
      </c>
      <c r="G90" t="s">
        <v>29</v>
      </c>
      <c r="H90">
        <v>935</v>
      </c>
      <c r="I90">
        <v>1482</v>
      </c>
      <c r="J90">
        <v>7</v>
      </c>
      <c r="K90">
        <v>0.38684319404220108</v>
      </c>
      <c r="L90">
        <v>0.99256900212314236</v>
      </c>
      <c r="M90">
        <v>0.55671330753200354</v>
      </c>
    </row>
    <row r="91" spans="1:13" x14ac:dyDescent="0.35">
      <c r="A91" t="s">
        <v>13</v>
      </c>
      <c r="B91" t="s">
        <v>51</v>
      </c>
      <c r="C91" t="s">
        <v>15</v>
      </c>
      <c r="D91" t="s">
        <v>18</v>
      </c>
      <c r="F91">
        <v>32</v>
      </c>
      <c r="G91" t="s">
        <v>29</v>
      </c>
      <c r="H91">
        <v>832</v>
      </c>
      <c r="I91">
        <v>419</v>
      </c>
      <c r="J91">
        <v>110</v>
      </c>
      <c r="K91">
        <v>0.66506794564348526</v>
      </c>
      <c r="L91">
        <v>0.88322717622080682</v>
      </c>
      <c r="M91">
        <v>0.75877792977656178</v>
      </c>
    </row>
    <row r="92" spans="1:13" x14ac:dyDescent="0.35">
      <c r="A92" t="s">
        <v>13</v>
      </c>
      <c r="B92" t="s">
        <v>51</v>
      </c>
      <c r="C92" t="s">
        <v>15</v>
      </c>
      <c r="D92" t="s">
        <v>20</v>
      </c>
      <c r="E92" t="s">
        <v>21</v>
      </c>
      <c r="F92">
        <v>32</v>
      </c>
      <c r="G92" t="s">
        <v>17</v>
      </c>
      <c r="H92">
        <v>896</v>
      </c>
      <c r="I92">
        <v>463</v>
      </c>
      <c r="J92">
        <v>46</v>
      </c>
      <c r="K92">
        <v>0.65930831493745401</v>
      </c>
      <c r="L92">
        <v>0.95116772823779205</v>
      </c>
      <c r="M92">
        <v>0.77879182963928739</v>
      </c>
    </row>
    <row r="93" spans="1:13" x14ac:dyDescent="0.35">
      <c r="A93" t="s">
        <v>13</v>
      </c>
      <c r="B93" t="s">
        <v>51</v>
      </c>
      <c r="C93" t="s">
        <v>15</v>
      </c>
      <c r="D93" t="s">
        <v>22</v>
      </c>
      <c r="E93" t="s">
        <v>23</v>
      </c>
      <c r="F93">
        <v>32</v>
      </c>
      <c r="G93" t="s">
        <v>17</v>
      </c>
      <c r="H93">
        <v>908</v>
      </c>
      <c r="I93">
        <v>520</v>
      </c>
      <c r="J93">
        <v>34</v>
      </c>
      <c r="K93">
        <v>0.63585434173669464</v>
      </c>
      <c r="L93">
        <v>0.96390658174097676</v>
      </c>
      <c r="M93">
        <v>0.76624472573839653</v>
      </c>
    </row>
    <row r="94" spans="1:13" x14ac:dyDescent="0.35">
      <c r="A94" t="s">
        <v>13</v>
      </c>
      <c r="B94" t="s">
        <v>52</v>
      </c>
      <c r="C94" t="s">
        <v>15</v>
      </c>
      <c r="D94" t="s">
        <v>16</v>
      </c>
      <c r="F94">
        <v>32</v>
      </c>
      <c r="G94" t="s">
        <v>17</v>
      </c>
      <c r="H94">
        <v>2432</v>
      </c>
      <c r="I94">
        <v>31</v>
      </c>
      <c r="J94">
        <v>1</v>
      </c>
      <c r="K94">
        <v>0.98741372310190823</v>
      </c>
      <c r="L94">
        <v>0.99958898479243719</v>
      </c>
      <c r="M94">
        <v>0.99346405228758161</v>
      </c>
    </row>
    <row r="95" spans="1:13" x14ac:dyDescent="0.35">
      <c r="A95" t="s">
        <v>13</v>
      </c>
      <c r="B95" t="s">
        <v>52</v>
      </c>
      <c r="C95" t="s">
        <v>15</v>
      </c>
      <c r="D95" t="s">
        <v>18</v>
      </c>
      <c r="F95">
        <v>32</v>
      </c>
      <c r="G95" t="s">
        <v>29</v>
      </c>
      <c r="H95">
        <v>2429</v>
      </c>
      <c r="I95">
        <v>31</v>
      </c>
      <c r="J95">
        <v>4</v>
      </c>
      <c r="K95">
        <v>0.98739837398373997</v>
      </c>
      <c r="L95">
        <v>0.99835593916974918</v>
      </c>
      <c r="M95">
        <v>0.99284692417739639</v>
      </c>
    </row>
    <row r="96" spans="1:13" x14ac:dyDescent="0.35">
      <c r="A96" t="s">
        <v>13</v>
      </c>
      <c r="B96" t="s">
        <v>52</v>
      </c>
      <c r="C96" t="s">
        <v>15</v>
      </c>
      <c r="D96" t="s">
        <v>20</v>
      </c>
      <c r="E96" t="s">
        <v>21</v>
      </c>
      <c r="F96">
        <v>32</v>
      </c>
      <c r="G96" t="s">
        <v>17</v>
      </c>
      <c r="H96">
        <v>2403</v>
      </c>
      <c r="I96">
        <v>21</v>
      </c>
      <c r="J96">
        <v>30</v>
      </c>
      <c r="K96">
        <v>0.99133663366336644</v>
      </c>
      <c r="L96">
        <v>0.98766954377311955</v>
      </c>
      <c r="M96">
        <v>0.98949969116738723</v>
      </c>
    </row>
    <row r="97" spans="1:13" x14ac:dyDescent="0.35">
      <c r="A97" t="s">
        <v>13</v>
      </c>
      <c r="B97" t="s">
        <v>52</v>
      </c>
      <c r="C97" t="s">
        <v>15</v>
      </c>
      <c r="D97" t="s">
        <v>22</v>
      </c>
      <c r="E97" t="s">
        <v>23</v>
      </c>
      <c r="F97">
        <v>32</v>
      </c>
      <c r="G97" t="s">
        <v>17</v>
      </c>
      <c r="H97">
        <v>2423</v>
      </c>
      <c r="I97">
        <v>26</v>
      </c>
      <c r="J97">
        <v>10</v>
      </c>
      <c r="K97">
        <v>0.98938342180481842</v>
      </c>
      <c r="L97">
        <v>0.99588984792437318</v>
      </c>
      <c r="M97">
        <v>0.9926259729619008</v>
      </c>
    </row>
    <row r="98" spans="1:13" x14ac:dyDescent="0.35">
      <c r="A98" t="s">
        <v>13</v>
      </c>
      <c r="B98" t="s">
        <v>53</v>
      </c>
      <c r="C98" t="s">
        <v>15</v>
      </c>
      <c r="D98" t="s">
        <v>16</v>
      </c>
      <c r="F98">
        <v>32</v>
      </c>
      <c r="G98" t="s">
        <v>17</v>
      </c>
      <c r="H98">
        <v>661</v>
      </c>
      <c r="I98">
        <v>1655</v>
      </c>
      <c r="J98">
        <v>0</v>
      </c>
      <c r="K98">
        <v>0.28540587219343688</v>
      </c>
      <c r="L98">
        <v>1</v>
      </c>
      <c r="M98">
        <v>0.44407121263016458</v>
      </c>
    </row>
    <row r="99" spans="1:13" x14ac:dyDescent="0.35">
      <c r="A99" t="s">
        <v>13</v>
      </c>
      <c r="B99" t="s">
        <v>53</v>
      </c>
      <c r="C99" t="s">
        <v>15</v>
      </c>
      <c r="D99" t="s">
        <v>18</v>
      </c>
      <c r="F99">
        <v>32</v>
      </c>
      <c r="G99" t="s">
        <v>17</v>
      </c>
      <c r="H99">
        <v>268</v>
      </c>
      <c r="I99">
        <v>60</v>
      </c>
      <c r="J99">
        <v>393</v>
      </c>
      <c r="K99">
        <v>0.81707317073170727</v>
      </c>
      <c r="L99">
        <v>0.40544629349470501</v>
      </c>
      <c r="M99">
        <v>0.54196157735085948</v>
      </c>
    </row>
    <row r="100" spans="1:13" x14ac:dyDescent="0.35">
      <c r="A100" t="s">
        <v>13</v>
      </c>
      <c r="B100" t="s">
        <v>53</v>
      </c>
      <c r="C100" t="s">
        <v>15</v>
      </c>
      <c r="D100" t="s">
        <v>20</v>
      </c>
      <c r="E100" t="s">
        <v>21</v>
      </c>
      <c r="F100">
        <v>32</v>
      </c>
      <c r="G100" t="s">
        <v>54</v>
      </c>
      <c r="H100">
        <v>535</v>
      </c>
      <c r="I100">
        <v>462</v>
      </c>
      <c r="J100">
        <v>126</v>
      </c>
      <c r="K100">
        <v>0.53660982948846536</v>
      </c>
      <c r="L100">
        <v>0.80937972768532529</v>
      </c>
      <c r="M100">
        <v>0.64535585042219545</v>
      </c>
    </row>
    <row r="101" spans="1:13" x14ac:dyDescent="0.35">
      <c r="A101" t="s">
        <v>13</v>
      </c>
      <c r="B101" t="s">
        <v>53</v>
      </c>
      <c r="C101" t="s">
        <v>15</v>
      </c>
      <c r="D101" t="s">
        <v>22</v>
      </c>
      <c r="E101" t="s">
        <v>23</v>
      </c>
      <c r="F101">
        <v>32</v>
      </c>
      <c r="G101" t="s">
        <v>19</v>
      </c>
      <c r="H101">
        <v>509</v>
      </c>
      <c r="I101">
        <v>410</v>
      </c>
      <c r="J101">
        <v>152</v>
      </c>
      <c r="K101">
        <v>0.55386289445048964</v>
      </c>
      <c r="L101">
        <v>0.77004538577912252</v>
      </c>
      <c r="M101">
        <v>0.64430379746835431</v>
      </c>
    </row>
    <row r="102" spans="1:13" x14ac:dyDescent="0.35">
      <c r="A102" t="s">
        <v>13</v>
      </c>
      <c r="B102" t="s">
        <v>55</v>
      </c>
      <c r="C102" t="s">
        <v>15</v>
      </c>
      <c r="D102" t="s">
        <v>16</v>
      </c>
      <c r="F102">
        <v>32</v>
      </c>
      <c r="G102" t="s">
        <v>17</v>
      </c>
      <c r="H102">
        <v>1732</v>
      </c>
      <c r="I102">
        <v>491</v>
      </c>
      <c r="J102">
        <v>5</v>
      </c>
      <c r="K102">
        <v>0.77912730544309494</v>
      </c>
      <c r="L102">
        <v>0.99712147380541161</v>
      </c>
      <c r="M102">
        <v>0.87474747474747483</v>
      </c>
    </row>
    <row r="103" spans="1:13" x14ac:dyDescent="0.35">
      <c r="A103" t="s">
        <v>13</v>
      </c>
      <c r="B103" t="s">
        <v>55</v>
      </c>
      <c r="C103" t="s">
        <v>15</v>
      </c>
      <c r="D103" t="s">
        <v>18</v>
      </c>
      <c r="F103">
        <v>32</v>
      </c>
      <c r="G103" t="s">
        <v>43</v>
      </c>
      <c r="H103">
        <v>1683</v>
      </c>
      <c r="I103">
        <v>588</v>
      </c>
      <c r="J103">
        <v>54</v>
      </c>
      <c r="K103">
        <v>0.7410832232496698</v>
      </c>
      <c r="L103">
        <v>0.9689119170984456</v>
      </c>
      <c r="M103">
        <v>0.83982035928143717</v>
      </c>
    </row>
    <row r="104" spans="1:13" x14ac:dyDescent="0.35">
      <c r="A104" t="s">
        <v>13</v>
      </c>
      <c r="B104" t="s">
        <v>55</v>
      </c>
      <c r="C104" t="s">
        <v>15</v>
      </c>
      <c r="D104" t="s">
        <v>20</v>
      </c>
      <c r="E104" t="s">
        <v>21</v>
      </c>
      <c r="F104">
        <v>32</v>
      </c>
      <c r="G104" t="s">
        <v>17</v>
      </c>
      <c r="H104">
        <v>1702</v>
      </c>
      <c r="I104">
        <v>285</v>
      </c>
      <c r="J104">
        <v>35</v>
      </c>
      <c r="K104">
        <v>0.85656768998490185</v>
      </c>
      <c r="L104">
        <v>0.97985031663788136</v>
      </c>
      <c r="M104">
        <v>0.91407089151450038</v>
      </c>
    </row>
    <row r="105" spans="1:13" x14ac:dyDescent="0.35">
      <c r="A105" t="s">
        <v>13</v>
      </c>
      <c r="B105" t="s">
        <v>55</v>
      </c>
      <c r="C105" t="s">
        <v>15</v>
      </c>
      <c r="D105" t="s">
        <v>22</v>
      </c>
      <c r="E105" t="s">
        <v>23</v>
      </c>
      <c r="F105">
        <v>32</v>
      </c>
      <c r="G105" t="s">
        <v>29</v>
      </c>
      <c r="H105">
        <v>1695</v>
      </c>
      <c r="I105">
        <v>302</v>
      </c>
      <c r="J105">
        <v>42</v>
      </c>
      <c r="K105">
        <v>0.84877315973960943</v>
      </c>
      <c r="L105">
        <v>0.97582037996545756</v>
      </c>
      <c r="M105">
        <v>0.90787359400107115</v>
      </c>
    </row>
    <row r="106" spans="1:13" x14ac:dyDescent="0.35">
      <c r="A106" t="s">
        <v>13</v>
      </c>
      <c r="B106" t="s">
        <v>56</v>
      </c>
      <c r="C106" t="s">
        <v>15</v>
      </c>
      <c r="D106" t="s">
        <v>16</v>
      </c>
      <c r="F106">
        <v>32</v>
      </c>
      <c r="G106" t="s">
        <v>54</v>
      </c>
      <c r="H106">
        <v>513</v>
      </c>
      <c r="I106">
        <v>940</v>
      </c>
      <c r="J106">
        <v>36</v>
      </c>
      <c r="K106">
        <v>0.3530626290433585</v>
      </c>
      <c r="L106">
        <v>0.93442622950819676</v>
      </c>
      <c r="M106">
        <v>0.51248751248751245</v>
      </c>
    </row>
    <row r="107" spans="1:13" x14ac:dyDescent="0.35">
      <c r="A107" t="s">
        <v>13</v>
      </c>
      <c r="B107" t="s">
        <v>56</v>
      </c>
      <c r="C107" t="s">
        <v>15</v>
      </c>
      <c r="D107" t="s">
        <v>18</v>
      </c>
      <c r="F107">
        <v>32</v>
      </c>
      <c r="G107" t="s">
        <v>17</v>
      </c>
      <c r="H107">
        <v>541</v>
      </c>
      <c r="I107">
        <v>639</v>
      </c>
      <c r="J107">
        <v>8</v>
      </c>
      <c r="K107">
        <v>0.45847457627118637</v>
      </c>
      <c r="L107">
        <v>0.98542805100182163</v>
      </c>
      <c r="M107">
        <v>0.62579525737420472</v>
      </c>
    </row>
    <row r="108" spans="1:13" x14ac:dyDescent="0.35">
      <c r="A108" t="s">
        <v>13</v>
      </c>
      <c r="B108" t="s">
        <v>56</v>
      </c>
      <c r="C108" t="s">
        <v>15</v>
      </c>
      <c r="D108" t="s">
        <v>20</v>
      </c>
      <c r="E108" t="s">
        <v>21</v>
      </c>
      <c r="F108">
        <v>32</v>
      </c>
      <c r="G108" t="s">
        <v>29</v>
      </c>
      <c r="H108">
        <v>461</v>
      </c>
      <c r="I108">
        <v>121</v>
      </c>
      <c r="J108">
        <v>88</v>
      </c>
      <c r="K108">
        <v>0.79209621993127144</v>
      </c>
      <c r="L108">
        <v>0.83970856102003644</v>
      </c>
      <c r="M108">
        <v>0.81520778072502209</v>
      </c>
    </row>
    <row r="109" spans="1:13" x14ac:dyDescent="0.35">
      <c r="A109" t="s">
        <v>13</v>
      </c>
      <c r="B109" t="s">
        <v>56</v>
      </c>
      <c r="C109" t="s">
        <v>15</v>
      </c>
      <c r="D109" t="s">
        <v>22</v>
      </c>
      <c r="E109" t="s">
        <v>23</v>
      </c>
      <c r="F109">
        <v>32</v>
      </c>
      <c r="G109" t="s">
        <v>29</v>
      </c>
      <c r="H109">
        <v>475</v>
      </c>
      <c r="I109">
        <v>148</v>
      </c>
      <c r="J109">
        <v>74</v>
      </c>
      <c r="K109">
        <v>0.7624398073836276</v>
      </c>
      <c r="L109">
        <v>0.86520947176684881</v>
      </c>
      <c r="M109">
        <v>0.81058020477815695</v>
      </c>
    </row>
    <row r="110" spans="1:13" x14ac:dyDescent="0.35">
      <c r="A110" t="s">
        <v>13</v>
      </c>
      <c r="B110" t="s">
        <v>57</v>
      </c>
      <c r="C110" t="s">
        <v>15</v>
      </c>
      <c r="D110" t="s">
        <v>16</v>
      </c>
      <c r="F110">
        <v>32</v>
      </c>
      <c r="G110" t="s">
        <v>17</v>
      </c>
      <c r="H110">
        <v>3176</v>
      </c>
      <c r="I110">
        <v>1312</v>
      </c>
      <c r="J110">
        <v>10</v>
      </c>
      <c r="K110">
        <v>0.70766488413547235</v>
      </c>
      <c r="L110">
        <v>0.9968612680477088</v>
      </c>
      <c r="M110">
        <v>0.82772999739379716</v>
      </c>
    </row>
    <row r="111" spans="1:13" x14ac:dyDescent="0.35">
      <c r="A111" t="s">
        <v>13</v>
      </c>
      <c r="B111" t="s">
        <v>57</v>
      </c>
      <c r="C111" t="s">
        <v>15</v>
      </c>
      <c r="D111" t="s">
        <v>18</v>
      </c>
      <c r="F111">
        <v>32</v>
      </c>
      <c r="G111" t="s">
        <v>17</v>
      </c>
      <c r="H111">
        <v>2896</v>
      </c>
      <c r="I111">
        <v>724</v>
      </c>
      <c r="J111">
        <v>290</v>
      </c>
      <c r="K111">
        <v>0.8</v>
      </c>
      <c r="L111">
        <v>0.9089767733835532</v>
      </c>
      <c r="M111">
        <v>0.85101381134293275</v>
      </c>
    </row>
    <row r="112" spans="1:13" x14ac:dyDescent="0.35">
      <c r="A112" t="s">
        <v>13</v>
      </c>
      <c r="B112" t="s">
        <v>57</v>
      </c>
      <c r="C112" t="s">
        <v>15</v>
      </c>
      <c r="D112" t="s">
        <v>20</v>
      </c>
      <c r="E112" t="s">
        <v>21</v>
      </c>
      <c r="F112">
        <v>32</v>
      </c>
      <c r="G112" t="s">
        <v>17</v>
      </c>
      <c r="H112">
        <v>2439</v>
      </c>
      <c r="I112">
        <v>495</v>
      </c>
      <c r="J112">
        <v>747</v>
      </c>
      <c r="K112">
        <v>0.83128834355828218</v>
      </c>
      <c r="L112">
        <v>0.7655367231638418</v>
      </c>
      <c r="M112">
        <v>0.79705882352941171</v>
      </c>
    </row>
    <row r="113" spans="1:13" x14ac:dyDescent="0.35">
      <c r="A113" t="s">
        <v>13</v>
      </c>
      <c r="B113" t="s">
        <v>57</v>
      </c>
      <c r="C113" t="s">
        <v>15</v>
      </c>
      <c r="D113" t="s">
        <v>22</v>
      </c>
      <c r="E113" t="s">
        <v>23</v>
      </c>
      <c r="F113">
        <v>32</v>
      </c>
      <c r="G113" t="s">
        <v>17</v>
      </c>
      <c r="H113">
        <v>2640</v>
      </c>
      <c r="I113">
        <v>566</v>
      </c>
      <c r="J113">
        <v>546</v>
      </c>
      <c r="K113">
        <v>0.82345601996257023</v>
      </c>
      <c r="L113">
        <v>0.82862523540489641</v>
      </c>
      <c r="M113">
        <v>0.82603254067584475</v>
      </c>
    </row>
    <row r="114" spans="1:13" x14ac:dyDescent="0.35">
      <c r="A114" t="s">
        <v>13</v>
      </c>
      <c r="B114" t="s">
        <v>58</v>
      </c>
      <c r="C114" t="s">
        <v>15</v>
      </c>
      <c r="D114" t="s">
        <v>16</v>
      </c>
      <c r="F114">
        <v>32</v>
      </c>
      <c r="G114" t="s">
        <v>54</v>
      </c>
      <c r="H114">
        <v>507</v>
      </c>
      <c r="I114">
        <v>949</v>
      </c>
      <c r="J114">
        <v>76</v>
      </c>
      <c r="K114">
        <v>0.3482142857142857</v>
      </c>
      <c r="L114">
        <v>0.869639794168096</v>
      </c>
      <c r="M114">
        <v>0.49730259931338888</v>
      </c>
    </row>
    <row r="115" spans="1:13" x14ac:dyDescent="0.35">
      <c r="A115" t="s">
        <v>13</v>
      </c>
      <c r="B115" t="s">
        <v>58</v>
      </c>
      <c r="C115" t="s">
        <v>15</v>
      </c>
      <c r="D115" t="s">
        <v>18</v>
      </c>
      <c r="F115">
        <v>32</v>
      </c>
      <c r="G115" t="s">
        <v>17</v>
      </c>
      <c r="H115">
        <v>549</v>
      </c>
      <c r="I115">
        <v>518</v>
      </c>
      <c r="J115">
        <v>34</v>
      </c>
      <c r="K115">
        <v>0.51452671040299902</v>
      </c>
      <c r="L115">
        <v>0.94168096054888517</v>
      </c>
      <c r="M115">
        <v>0.66545454545454541</v>
      </c>
    </row>
    <row r="116" spans="1:13" x14ac:dyDescent="0.35">
      <c r="A116" t="s">
        <v>13</v>
      </c>
      <c r="B116" t="s">
        <v>58</v>
      </c>
      <c r="C116" t="s">
        <v>15</v>
      </c>
      <c r="D116" t="s">
        <v>20</v>
      </c>
      <c r="E116" t="s">
        <v>21</v>
      </c>
      <c r="F116">
        <v>32</v>
      </c>
      <c r="G116" t="s">
        <v>29</v>
      </c>
      <c r="H116">
        <v>447</v>
      </c>
      <c r="I116">
        <v>95</v>
      </c>
      <c r="J116">
        <v>136</v>
      </c>
      <c r="K116">
        <v>0.82472324723247237</v>
      </c>
      <c r="L116">
        <v>0.76672384219554035</v>
      </c>
      <c r="M116">
        <v>0.79466666666666674</v>
      </c>
    </row>
    <row r="117" spans="1:13" x14ac:dyDescent="0.35">
      <c r="A117" t="s">
        <v>13</v>
      </c>
      <c r="B117" t="s">
        <v>58</v>
      </c>
      <c r="C117" t="s">
        <v>15</v>
      </c>
      <c r="D117" t="s">
        <v>22</v>
      </c>
      <c r="E117" t="s">
        <v>23</v>
      </c>
      <c r="F117">
        <v>32</v>
      </c>
      <c r="G117" t="s">
        <v>29</v>
      </c>
      <c r="H117">
        <v>486</v>
      </c>
      <c r="I117">
        <v>170</v>
      </c>
      <c r="J117">
        <v>97</v>
      </c>
      <c r="K117">
        <v>0.74085365853658536</v>
      </c>
      <c r="L117">
        <v>0.83361921097770153</v>
      </c>
      <c r="M117">
        <v>0.78450363196125905</v>
      </c>
    </row>
    <row r="118" spans="1:13" x14ac:dyDescent="0.35">
      <c r="A118" t="s">
        <v>13</v>
      </c>
      <c r="B118" t="s">
        <v>59</v>
      </c>
      <c r="C118" t="s">
        <v>15</v>
      </c>
      <c r="D118" t="s">
        <v>16</v>
      </c>
      <c r="F118">
        <v>32</v>
      </c>
      <c r="G118" t="s">
        <v>17</v>
      </c>
      <c r="H118">
        <v>1447</v>
      </c>
      <c r="I118">
        <v>2306</v>
      </c>
      <c r="J118">
        <v>29</v>
      </c>
      <c r="K118">
        <v>0.38555822009059421</v>
      </c>
      <c r="L118">
        <v>0.98035230352303515</v>
      </c>
      <c r="M118">
        <v>0.55345190284949319</v>
      </c>
    </row>
    <row r="119" spans="1:13" x14ac:dyDescent="0.35">
      <c r="A119" t="s">
        <v>13</v>
      </c>
      <c r="B119" t="s">
        <v>59</v>
      </c>
      <c r="C119" t="s">
        <v>15</v>
      </c>
      <c r="D119" t="s">
        <v>18</v>
      </c>
      <c r="F119">
        <v>32</v>
      </c>
      <c r="G119" t="s">
        <v>19</v>
      </c>
      <c r="H119">
        <v>24</v>
      </c>
      <c r="I119">
        <v>64</v>
      </c>
      <c r="J119">
        <v>1452</v>
      </c>
      <c r="K119">
        <v>0.27272727272727271</v>
      </c>
      <c r="L119">
        <v>1.6260162601626001E-2</v>
      </c>
      <c r="M119">
        <v>3.0690537084398901E-2</v>
      </c>
    </row>
    <row r="120" spans="1:13" x14ac:dyDescent="0.35">
      <c r="A120" t="s">
        <v>13</v>
      </c>
      <c r="B120" t="s">
        <v>59</v>
      </c>
      <c r="C120" t="s">
        <v>15</v>
      </c>
      <c r="D120" t="s">
        <v>20</v>
      </c>
      <c r="E120" t="s">
        <v>21</v>
      </c>
      <c r="F120">
        <v>32</v>
      </c>
      <c r="G120" t="s">
        <v>17</v>
      </c>
      <c r="H120">
        <v>519</v>
      </c>
      <c r="I120">
        <v>127</v>
      </c>
      <c r="J120">
        <v>957</v>
      </c>
      <c r="K120">
        <v>0.80340557275541791</v>
      </c>
      <c r="L120">
        <v>0.3516260162601626</v>
      </c>
      <c r="M120">
        <v>0.4891611687087653</v>
      </c>
    </row>
    <row r="121" spans="1:13" x14ac:dyDescent="0.35">
      <c r="A121" t="s">
        <v>13</v>
      </c>
      <c r="B121" t="s">
        <v>59</v>
      </c>
      <c r="C121" t="s">
        <v>15</v>
      </c>
      <c r="D121" t="s">
        <v>22</v>
      </c>
      <c r="E121" t="s">
        <v>23</v>
      </c>
      <c r="F121">
        <v>32</v>
      </c>
      <c r="G121" t="s">
        <v>17</v>
      </c>
      <c r="H121">
        <v>579</v>
      </c>
      <c r="I121">
        <v>142</v>
      </c>
      <c r="J121">
        <v>897</v>
      </c>
      <c r="K121">
        <v>0.80305131761442439</v>
      </c>
      <c r="L121">
        <v>0.39227642276422758</v>
      </c>
      <c r="M121">
        <v>0.52708238507055072</v>
      </c>
    </row>
    <row r="122" spans="1:13" x14ac:dyDescent="0.35">
      <c r="A122" t="s">
        <v>13</v>
      </c>
      <c r="B122" t="s">
        <v>60</v>
      </c>
      <c r="C122" t="s">
        <v>15</v>
      </c>
      <c r="D122" t="s">
        <v>16</v>
      </c>
      <c r="F122">
        <v>32</v>
      </c>
      <c r="G122" t="s">
        <v>29</v>
      </c>
      <c r="H122">
        <v>1947</v>
      </c>
      <c r="I122">
        <v>1763</v>
      </c>
      <c r="J122">
        <v>25</v>
      </c>
      <c r="K122">
        <v>0.5247978436657682</v>
      </c>
      <c r="L122">
        <v>0.98732251521298176</v>
      </c>
      <c r="M122">
        <v>0.68532206969376974</v>
      </c>
    </row>
    <row r="123" spans="1:13" x14ac:dyDescent="0.35">
      <c r="A123" t="s">
        <v>13</v>
      </c>
      <c r="B123" t="s">
        <v>60</v>
      </c>
      <c r="C123" t="s">
        <v>15</v>
      </c>
      <c r="D123" t="s">
        <v>18</v>
      </c>
      <c r="F123">
        <v>32</v>
      </c>
      <c r="G123" t="s">
        <v>43</v>
      </c>
      <c r="H123">
        <v>419</v>
      </c>
      <c r="I123">
        <v>176</v>
      </c>
      <c r="J123">
        <v>1553</v>
      </c>
      <c r="K123">
        <v>0.70420168067226896</v>
      </c>
      <c r="L123">
        <v>0.2124746450304259</v>
      </c>
      <c r="M123">
        <v>0.32645111024542273</v>
      </c>
    </row>
    <row r="124" spans="1:13" x14ac:dyDescent="0.35">
      <c r="A124" t="s">
        <v>13</v>
      </c>
      <c r="B124" t="s">
        <v>60</v>
      </c>
      <c r="C124" t="s">
        <v>15</v>
      </c>
      <c r="D124" t="s">
        <v>20</v>
      </c>
      <c r="E124" t="s">
        <v>21</v>
      </c>
      <c r="F124">
        <v>32</v>
      </c>
      <c r="G124" t="s">
        <v>29</v>
      </c>
      <c r="H124">
        <v>903</v>
      </c>
      <c r="I124">
        <v>114</v>
      </c>
      <c r="J124">
        <v>1069</v>
      </c>
      <c r="K124">
        <v>0.88790560471976399</v>
      </c>
      <c r="L124">
        <v>0.4579107505070994</v>
      </c>
      <c r="M124">
        <v>0.60421545667447307</v>
      </c>
    </row>
    <row r="125" spans="1:13" x14ac:dyDescent="0.35">
      <c r="A125" t="s">
        <v>13</v>
      </c>
      <c r="B125" t="s">
        <v>60</v>
      </c>
      <c r="C125" t="s">
        <v>15</v>
      </c>
      <c r="D125" t="s">
        <v>22</v>
      </c>
      <c r="E125" t="s">
        <v>23</v>
      </c>
      <c r="F125">
        <v>32</v>
      </c>
      <c r="G125" t="s">
        <v>29</v>
      </c>
      <c r="H125">
        <v>1005</v>
      </c>
      <c r="I125">
        <v>144</v>
      </c>
      <c r="J125">
        <v>967</v>
      </c>
      <c r="K125">
        <v>0.87467362924281988</v>
      </c>
      <c r="L125">
        <v>0.50963488843813387</v>
      </c>
      <c r="M125">
        <v>0.64402435116949697</v>
      </c>
    </row>
    <row r="126" spans="1:13" x14ac:dyDescent="0.35">
      <c r="A126" t="s">
        <v>13</v>
      </c>
      <c r="B126" t="s">
        <v>61</v>
      </c>
      <c r="C126" t="s">
        <v>15</v>
      </c>
      <c r="D126" t="s">
        <v>16</v>
      </c>
      <c r="F126">
        <v>32</v>
      </c>
      <c r="G126" t="s">
        <v>17</v>
      </c>
      <c r="H126">
        <v>1671</v>
      </c>
      <c r="I126">
        <v>1868</v>
      </c>
      <c r="J126">
        <v>9</v>
      </c>
      <c r="K126">
        <v>0.47216727889234239</v>
      </c>
      <c r="L126">
        <v>0.99464285714285716</v>
      </c>
      <c r="M126">
        <v>0.6403525579612952</v>
      </c>
    </row>
    <row r="127" spans="1:13" x14ac:dyDescent="0.35">
      <c r="A127" t="s">
        <v>13</v>
      </c>
      <c r="B127" t="s">
        <v>61</v>
      </c>
      <c r="C127" t="s">
        <v>15</v>
      </c>
      <c r="D127" t="s">
        <v>18</v>
      </c>
      <c r="F127">
        <v>32</v>
      </c>
      <c r="G127" t="s">
        <v>29</v>
      </c>
      <c r="H127">
        <v>4</v>
      </c>
      <c r="I127">
        <v>12</v>
      </c>
      <c r="J127">
        <v>1676</v>
      </c>
      <c r="K127">
        <v>0.25</v>
      </c>
      <c r="L127">
        <v>2.3809523809523001E-3</v>
      </c>
      <c r="M127">
        <v>4.7169811320754004E-3</v>
      </c>
    </row>
    <row r="128" spans="1:13" x14ac:dyDescent="0.35">
      <c r="A128" t="s">
        <v>13</v>
      </c>
      <c r="B128" t="s">
        <v>61</v>
      </c>
      <c r="C128" t="s">
        <v>15</v>
      </c>
      <c r="D128" t="s">
        <v>20</v>
      </c>
      <c r="E128" t="s">
        <v>21</v>
      </c>
      <c r="F128">
        <v>32</v>
      </c>
      <c r="G128" t="s">
        <v>17</v>
      </c>
      <c r="H128">
        <v>1536</v>
      </c>
      <c r="I128">
        <v>1046</v>
      </c>
      <c r="J128">
        <v>144</v>
      </c>
      <c r="K128">
        <v>0.59488768396591785</v>
      </c>
      <c r="L128">
        <v>0.91428571428571437</v>
      </c>
      <c r="M128">
        <v>0.720788362271234</v>
      </c>
    </row>
    <row r="129" spans="1:13" x14ac:dyDescent="0.35">
      <c r="A129" t="s">
        <v>13</v>
      </c>
      <c r="B129" t="s">
        <v>61</v>
      </c>
      <c r="C129" t="s">
        <v>15</v>
      </c>
      <c r="D129" t="s">
        <v>22</v>
      </c>
      <c r="E129" t="s">
        <v>23</v>
      </c>
      <c r="F129">
        <v>32</v>
      </c>
      <c r="G129" t="s">
        <v>17</v>
      </c>
      <c r="H129">
        <v>1546</v>
      </c>
      <c r="I129">
        <v>1105</v>
      </c>
      <c r="J129">
        <v>134</v>
      </c>
      <c r="K129">
        <v>0.58317615993964544</v>
      </c>
      <c r="L129">
        <v>0.92023809523809519</v>
      </c>
      <c r="M129">
        <v>0.71392288155160477</v>
      </c>
    </row>
    <row r="130" spans="1:13" x14ac:dyDescent="0.35">
      <c r="A130" t="s">
        <v>13</v>
      </c>
      <c r="B130" t="s">
        <v>62</v>
      </c>
      <c r="C130" t="s">
        <v>15</v>
      </c>
      <c r="D130" t="s">
        <v>16</v>
      </c>
      <c r="F130">
        <v>32</v>
      </c>
      <c r="G130" t="s">
        <v>17</v>
      </c>
      <c r="H130">
        <v>742</v>
      </c>
      <c r="I130">
        <v>1841</v>
      </c>
      <c r="J130">
        <v>1</v>
      </c>
      <c r="K130">
        <v>0.2872628726287263</v>
      </c>
      <c r="L130">
        <v>0.99865410497981155</v>
      </c>
      <c r="M130">
        <v>0.4461815995189416</v>
      </c>
    </row>
    <row r="131" spans="1:13" x14ac:dyDescent="0.35">
      <c r="A131" t="s">
        <v>13</v>
      </c>
      <c r="B131" t="s">
        <v>62</v>
      </c>
      <c r="C131" t="s">
        <v>15</v>
      </c>
      <c r="D131" t="s">
        <v>18</v>
      </c>
      <c r="F131">
        <v>32</v>
      </c>
      <c r="G131" t="s">
        <v>35</v>
      </c>
      <c r="H131">
        <v>716</v>
      </c>
      <c r="I131">
        <v>1841</v>
      </c>
      <c r="J131">
        <v>27</v>
      </c>
      <c r="K131">
        <v>0.28001564333202972</v>
      </c>
      <c r="L131">
        <v>0.96366083445491235</v>
      </c>
      <c r="M131">
        <v>0.43393939393939379</v>
      </c>
    </row>
    <row r="132" spans="1:13" x14ac:dyDescent="0.35">
      <c r="A132" t="s">
        <v>13</v>
      </c>
      <c r="B132" t="s">
        <v>62</v>
      </c>
      <c r="C132" t="s">
        <v>15</v>
      </c>
      <c r="D132" t="s">
        <v>20</v>
      </c>
      <c r="E132" t="s">
        <v>21</v>
      </c>
      <c r="F132">
        <v>32</v>
      </c>
      <c r="G132" t="s">
        <v>29</v>
      </c>
      <c r="H132">
        <v>599</v>
      </c>
      <c r="I132">
        <v>240</v>
      </c>
      <c r="J132">
        <v>144</v>
      </c>
      <c r="K132">
        <v>0.71394517282479142</v>
      </c>
      <c r="L132">
        <v>0.80619111709286673</v>
      </c>
      <c r="M132">
        <v>0.75726927939317312</v>
      </c>
    </row>
    <row r="133" spans="1:13" x14ac:dyDescent="0.35">
      <c r="A133" t="s">
        <v>13</v>
      </c>
      <c r="B133" t="s">
        <v>62</v>
      </c>
      <c r="C133" t="s">
        <v>15</v>
      </c>
      <c r="D133" t="s">
        <v>22</v>
      </c>
      <c r="E133" t="s">
        <v>23</v>
      </c>
      <c r="F133">
        <v>32</v>
      </c>
      <c r="G133" t="s">
        <v>29</v>
      </c>
      <c r="H133">
        <v>623</v>
      </c>
      <c r="I133">
        <v>273</v>
      </c>
      <c r="J133">
        <v>120</v>
      </c>
      <c r="K133">
        <v>0.6953125</v>
      </c>
      <c r="L133">
        <v>0.83849259757738892</v>
      </c>
      <c r="M133">
        <v>0.76021964612568638</v>
      </c>
    </row>
    <row r="134" spans="1:13" x14ac:dyDescent="0.35">
      <c r="A134" t="s">
        <v>13</v>
      </c>
      <c r="B134" t="s">
        <v>63</v>
      </c>
      <c r="C134" t="s">
        <v>15</v>
      </c>
      <c r="D134" t="s">
        <v>16</v>
      </c>
      <c r="F134">
        <v>32</v>
      </c>
      <c r="G134" t="s">
        <v>29</v>
      </c>
      <c r="H134">
        <v>1476</v>
      </c>
      <c r="I134">
        <v>906</v>
      </c>
      <c r="J134">
        <v>5</v>
      </c>
      <c r="K134">
        <v>0.61964735516372793</v>
      </c>
      <c r="L134">
        <v>0.99662390276839963</v>
      </c>
      <c r="M134">
        <v>0.76417292259901637</v>
      </c>
    </row>
    <row r="135" spans="1:13" x14ac:dyDescent="0.35">
      <c r="A135" t="s">
        <v>13</v>
      </c>
      <c r="B135" t="s">
        <v>63</v>
      </c>
      <c r="C135" t="s">
        <v>15</v>
      </c>
      <c r="D135" t="s">
        <v>18</v>
      </c>
      <c r="F135">
        <v>32</v>
      </c>
      <c r="G135" t="s">
        <v>43</v>
      </c>
      <c r="H135">
        <v>1439</v>
      </c>
      <c r="I135">
        <v>1301</v>
      </c>
      <c r="J135">
        <v>42</v>
      </c>
      <c r="K135">
        <v>0.5251824817518248</v>
      </c>
      <c r="L135">
        <v>0.97164078325455761</v>
      </c>
      <c r="M135">
        <v>0.68182895048566694</v>
      </c>
    </row>
    <row r="136" spans="1:13" x14ac:dyDescent="0.35">
      <c r="A136" t="s">
        <v>13</v>
      </c>
      <c r="B136" t="s">
        <v>63</v>
      </c>
      <c r="C136" t="s">
        <v>15</v>
      </c>
      <c r="D136" t="s">
        <v>20</v>
      </c>
      <c r="E136" t="s">
        <v>21</v>
      </c>
      <c r="F136">
        <v>32</v>
      </c>
      <c r="G136" t="s">
        <v>29</v>
      </c>
      <c r="H136">
        <v>1460</v>
      </c>
      <c r="I136">
        <v>534</v>
      </c>
      <c r="J136">
        <v>21</v>
      </c>
      <c r="K136">
        <v>0.7321965897693079</v>
      </c>
      <c r="L136">
        <v>0.98582039162727875</v>
      </c>
      <c r="M136">
        <v>0.84028776978417263</v>
      </c>
    </row>
    <row r="137" spans="1:13" x14ac:dyDescent="0.35">
      <c r="A137" t="s">
        <v>13</v>
      </c>
      <c r="B137" t="s">
        <v>63</v>
      </c>
      <c r="C137" t="s">
        <v>15</v>
      </c>
      <c r="D137" t="s">
        <v>22</v>
      </c>
      <c r="E137" t="s">
        <v>23</v>
      </c>
      <c r="F137">
        <v>32</v>
      </c>
      <c r="G137" t="s">
        <v>29</v>
      </c>
      <c r="H137">
        <v>1463</v>
      </c>
      <c r="I137">
        <v>563</v>
      </c>
      <c r="J137">
        <v>18</v>
      </c>
      <c r="K137">
        <v>0.72211253701875622</v>
      </c>
      <c r="L137">
        <v>0.98784604996623904</v>
      </c>
      <c r="M137">
        <v>0.83433133732534936</v>
      </c>
    </row>
    <row r="138" spans="1:13" x14ac:dyDescent="0.35">
      <c r="A138" t="s">
        <v>13</v>
      </c>
      <c r="B138" t="s">
        <v>64</v>
      </c>
      <c r="C138" t="s">
        <v>15</v>
      </c>
      <c r="D138" t="s">
        <v>16</v>
      </c>
      <c r="F138">
        <v>32</v>
      </c>
      <c r="G138" t="s">
        <v>49</v>
      </c>
      <c r="H138">
        <v>347</v>
      </c>
      <c r="I138">
        <v>255</v>
      </c>
      <c r="J138">
        <v>95</v>
      </c>
      <c r="K138">
        <v>0.57641196013289031</v>
      </c>
      <c r="L138">
        <v>0.78506787330316741</v>
      </c>
      <c r="M138">
        <v>0.66475095785440619</v>
      </c>
    </row>
    <row r="139" spans="1:13" x14ac:dyDescent="0.35">
      <c r="A139" t="s">
        <v>13</v>
      </c>
      <c r="B139" t="s">
        <v>64</v>
      </c>
      <c r="C139" t="s">
        <v>15</v>
      </c>
      <c r="D139" t="s">
        <v>18</v>
      </c>
      <c r="F139">
        <v>32</v>
      </c>
      <c r="G139" t="s">
        <v>17</v>
      </c>
      <c r="H139">
        <v>418</v>
      </c>
      <c r="I139">
        <v>7</v>
      </c>
      <c r="J139">
        <v>24</v>
      </c>
      <c r="K139">
        <v>0.98352941176470599</v>
      </c>
      <c r="L139">
        <v>0.94570135746606321</v>
      </c>
      <c r="M139">
        <v>0.9642445213379468</v>
      </c>
    </row>
    <row r="140" spans="1:13" x14ac:dyDescent="0.35">
      <c r="A140" t="s">
        <v>13</v>
      </c>
      <c r="B140" t="s">
        <v>64</v>
      </c>
      <c r="C140" t="s">
        <v>15</v>
      </c>
      <c r="D140" t="s">
        <v>20</v>
      </c>
      <c r="E140" t="s">
        <v>21</v>
      </c>
      <c r="F140">
        <v>32</v>
      </c>
      <c r="G140" t="s">
        <v>43</v>
      </c>
      <c r="H140">
        <v>429</v>
      </c>
      <c r="I140">
        <v>16</v>
      </c>
      <c r="J140">
        <v>13</v>
      </c>
      <c r="K140">
        <v>0.96404494382022476</v>
      </c>
      <c r="L140">
        <v>0.97058823529411764</v>
      </c>
      <c r="M140">
        <v>0.96730552423900795</v>
      </c>
    </row>
    <row r="141" spans="1:13" x14ac:dyDescent="0.35">
      <c r="A141" t="s">
        <v>13</v>
      </c>
      <c r="B141" t="s">
        <v>64</v>
      </c>
      <c r="C141" t="s">
        <v>15</v>
      </c>
      <c r="D141" t="s">
        <v>22</v>
      </c>
      <c r="E141" t="s">
        <v>23</v>
      </c>
      <c r="F141">
        <v>32</v>
      </c>
      <c r="G141" t="s">
        <v>43</v>
      </c>
      <c r="H141">
        <v>431</v>
      </c>
      <c r="I141">
        <v>23</v>
      </c>
      <c r="J141">
        <v>11</v>
      </c>
      <c r="K141">
        <v>0.9493392070484582</v>
      </c>
      <c r="L141">
        <v>0.97511312217194557</v>
      </c>
      <c r="M141">
        <v>0.9620535714285714</v>
      </c>
    </row>
    <row r="142" spans="1:13" x14ac:dyDescent="0.35">
      <c r="A142" t="s">
        <v>13</v>
      </c>
      <c r="B142" t="s">
        <v>65</v>
      </c>
      <c r="C142" t="s">
        <v>15</v>
      </c>
      <c r="D142" t="s">
        <v>16</v>
      </c>
      <c r="F142">
        <v>32</v>
      </c>
      <c r="G142" t="s">
        <v>28</v>
      </c>
      <c r="H142">
        <v>440</v>
      </c>
      <c r="I142">
        <v>604</v>
      </c>
      <c r="J142">
        <v>51</v>
      </c>
      <c r="K142">
        <v>0.42145593869731801</v>
      </c>
      <c r="L142">
        <v>0.89613034623217924</v>
      </c>
      <c r="M142">
        <v>0.57328990228013021</v>
      </c>
    </row>
    <row r="143" spans="1:13" x14ac:dyDescent="0.35">
      <c r="A143" t="s">
        <v>13</v>
      </c>
      <c r="B143" t="s">
        <v>65</v>
      </c>
      <c r="C143" t="s">
        <v>15</v>
      </c>
      <c r="D143" t="s">
        <v>18</v>
      </c>
      <c r="F143">
        <v>32</v>
      </c>
      <c r="G143" t="s">
        <v>66</v>
      </c>
      <c r="H143">
        <v>384</v>
      </c>
      <c r="I143">
        <v>405</v>
      </c>
      <c r="J143">
        <v>107</v>
      </c>
      <c r="K143">
        <v>0.48669201520912547</v>
      </c>
      <c r="L143">
        <v>0.7820773930753564</v>
      </c>
      <c r="M143">
        <v>0.60000000000000009</v>
      </c>
    </row>
    <row r="144" spans="1:13" x14ac:dyDescent="0.35">
      <c r="A144" t="s">
        <v>13</v>
      </c>
      <c r="B144" t="s">
        <v>65</v>
      </c>
      <c r="C144" t="s">
        <v>15</v>
      </c>
      <c r="D144" t="s">
        <v>20</v>
      </c>
      <c r="E144" t="s">
        <v>21</v>
      </c>
      <c r="F144">
        <v>32</v>
      </c>
      <c r="G144" t="s">
        <v>17</v>
      </c>
      <c r="H144">
        <v>475</v>
      </c>
      <c r="I144">
        <v>168</v>
      </c>
      <c r="J144">
        <v>16</v>
      </c>
      <c r="K144">
        <v>0.73872472783825816</v>
      </c>
      <c r="L144">
        <v>0.96741344195519363</v>
      </c>
      <c r="M144">
        <v>0.83774250440917108</v>
      </c>
    </row>
    <row r="145" spans="1:13" x14ac:dyDescent="0.35">
      <c r="A145" t="s">
        <v>13</v>
      </c>
      <c r="B145" t="s">
        <v>65</v>
      </c>
      <c r="C145" t="s">
        <v>15</v>
      </c>
      <c r="D145" t="s">
        <v>22</v>
      </c>
      <c r="E145" t="s">
        <v>23</v>
      </c>
      <c r="F145">
        <v>32</v>
      </c>
      <c r="G145" t="s">
        <v>17</v>
      </c>
      <c r="H145">
        <v>479</v>
      </c>
      <c r="I145">
        <v>182</v>
      </c>
      <c r="J145">
        <v>12</v>
      </c>
      <c r="K145">
        <v>0.72465960665658091</v>
      </c>
      <c r="L145">
        <v>0.97556008146639517</v>
      </c>
      <c r="M145">
        <v>0.83159722222222221</v>
      </c>
    </row>
    <row r="146" spans="1:13" x14ac:dyDescent="0.35">
      <c r="A146" t="s">
        <v>13</v>
      </c>
      <c r="B146" t="s">
        <v>67</v>
      </c>
      <c r="C146" t="s">
        <v>15</v>
      </c>
      <c r="D146" t="s">
        <v>16</v>
      </c>
      <c r="F146">
        <v>32</v>
      </c>
      <c r="G146" t="s">
        <v>17</v>
      </c>
      <c r="H146">
        <v>2658</v>
      </c>
      <c r="I146">
        <v>792</v>
      </c>
      <c r="J146">
        <v>14</v>
      </c>
      <c r="K146">
        <v>0.77043478260869569</v>
      </c>
      <c r="L146">
        <v>0.994760479041916</v>
      </c>
      <c r="M146">
        <v>0.86834367853642602</v>
      </c>
    </row>
    <row r="147" spans="1:13" x14ac:dyDescent="0.35">
      <c r="A147" t="s">
        <v>13</v>
      </c>
      <c r="B147" t="s">
        <v>67</v>
      </c>
      <c r="C147" t="s">
        <v>15</v>
      </c>
      <c r="D147" t="s">
        <v>18</v>
      </c>
      <c r="F147">
        <v>32</v>
      </c>
      <c r="G147" t="s">
        <v>35</v>
      </c>
      <c r="H147">
        <v>190</v>
      </c>
      <c r="I147">
        <v>383</v>
      </c>
      <c r="J147">
        <v>2482</v>
      </c>
      <c r="K147">
        <v>0.331588132635253</v>
      </c>
      <c r="L147">
        <v>7.1107784431137702E-2</v>
      </c>
      <c r="M147">
        <v>0.1171032357473035</v>
      </c>
    </row>
    <row r="148" spans="1:13" x14ac:dyDescent="0.35">
      <c r="A148" t="s">
        <v>13</v>
      </c>
      <c r="B148" t="s">
        <v>67</v>
      </c>
      <c r="C148" t="s">
        <v>15</v>
      </c>
      <c r="D148" t="s">
        <v>20</v>
      </c>
      <c r="E148" t="s">
        <v>21</v>
      </c>
      <c r="F148">
        <v>32</v>
      </c>
      <c r="G148" t="s">
        <v>17</v>
      </c>
      <c r="H148">
        <v>2244</v>
      </c>
      <c r="I148">
        <v>186</v>
      </c>
      <c r="J148">
        <v>428</v>
      </c>
      <c r="K148">
        <v>0.92345679012345683</v>
      </c>
      <c r="L148">
        <v>0.83982035928143717</v>
      </c>
      <c r="M148">
        <v>0.87965503724029803</v>
      </c>
    </row>
    <row r="149" spans="1:13" x14ac:dyDescent="0.35">
      <c r="A149" t="s">
        <v>13</v>
      </c>
      <c r="B149" t="s">
        <v>67</v>
      </c>
      <c r="C149" t="s">
        <v>15</v>
      </c>
      <c r="D149" t="s">
        <v>22</v>
      </c>
      <c r="E149" t="s">
        <v>23</v>
      </c>
      <c r="F149">
        <v>32</v>
      </c>
      <c r="G149" t="s">
        <v>17</v>
      </c>
      <c r="H149">
        <v>2372</v>
      </c>
      <c r="I149">
        <v>264</v>
      </c>
      <c r="J149">
        <v>300</v>
      </c>
      <c r="K149">
        <v>0.89984825493171472</v>
      </c>
      <c r="L149">
        <v>0.88772455089820357</v>
      </c>
      <c r="M149">
        <v>0.89374529012810844</v>
      </c>
    </row>
    <row r="150" spans="1:13" x14ac:dyDescent="0.35">
      <c r="A150" t="s">
        <v>13</v>
      </c>
      <c r="B150" t="s">
        <v>68</v>
      </c>
      <c r="C150" t="s">
        <v>15</v>
      </c>
      <c r="D150" t="s">
        <v>16</v>
      </c>
      <c r="F150">
        <v>32</v>
      </c>
      <c r="G150" t="s">
        <v>17</v>
      </c>
      <c r="H150">
        <v>1783</v>
      </c>
      <c r="I150">
        <v>814</v>
      </c>
      <c r="J150">
        <v>3</v>
      </c>
      <c r="K150">
        <v>0.68656141701963802</v>
      </c>
      <c r="L150">
        <v>0.99832026875699875</v>
      </c>
      <c r="M150">
        <v>0.81359799224275609</v>
      </c>
    </row>
    <row r="151" spans="1:13" x14ac:dyDescent="0.35">
      <c r="A151" t="s">
        <v>13</v>
      </c>
      <c r="B151" t="s">
        <v>68</v>
      </c>
      <c r="C151" t="s">
        <v>15</v>
      </c>
      <c r="D151" t="s">
        <v>18</v>
      </c>
      <c r="F151">
        <v>32</v>
      </c>
      <c r="G151" t="s">
        <v>17</v>
      </c>
      <c r="H151">
        <v>1713</v>
      </c>
      <c r="I151">
        <v>476</v>
      </c>
      <c r="J151">
        <v>73</v>
      </c>
      <c r="K151">
        <v>0.78254910918227505</v>
      </c>
      <c r="L151">
        <v>0.95912653975363937</v>
      </c>
      <c r="M151">
        <v>0.86188679245283017</v>
      </c>
    </row>
    <row r="152" spans="1:13" x14ac:dyDescent="0.35">
      <c r="A152" t="s">
        <v>13</v>
      </c>
      <c r="B152" t="s">
        <v>68</v>
      </c>
      <c r="C152" t="s">
        <v>15</v>
      </c>
      <c r="D152" t="s">
        <v>20</v>
      </c>
      <c r="E152" t="s">
        <v>21</v>
      </c>
      <c r="F152">
        <v>32</v>
      </c>
      <c r="G152" t="s">
        <v>29</v>
      </c>
      <c r="H152">
        <v>1737</v>
      </c>
      <c r="I152">
        <v>511</v>
      </c>
      <c r="J152">
        <v>49</v>
      </c>
      <c r="K152">
        <v>0.77268683274021355</v>
      </c>
      <c r="L152">
        <v>0.97256438969764836</v>
      </c>
      <c r="M152">
        <v>0.86117997025285076</v>
      </c>
    </row>
    <row r="153" spans="1:13" x14ac:dyDescent="0.35">
      <c r="A153" t="s">
        <v>13</v>
      </c>
      <c r="B153" t="s">
        <v>68</v>
      </c>
      <c r="C153" t="s">
        <v>15</v>
      </c>
      <c r="D153" t="s">
        <v>22</v>
      </c>
      <c r="E153" t="s">
        <v>23</v>
      </c>
      <c r="F153">
        <v>32</v>
      </c>
      <c r="G153" t="s">
        <v>29</v>
      </c>
      <c r="H153">
        <v>1739</v>
      </c>
      <c r="I153">
        <v>525</v>
      </c>
      <c r="J153">
        <v>47</v>
      </c>
      <c r="K153">
        <v>0.76810954063604242</v>
      </c>
      <c r="L153">
        <v>0.97368421052631582</v>
      </c>
      <c r="M153">
        <v>0.85876543209876544</v>
      </c>
    </row>
    <row r="154" spans="1:13" x14ac:dyDescent="0.35">
      <c r="A154" t="s">
        <v>13</v>
      </c>
      <c r="B154" t="s">
        <v>69</v>
      </c>
      <c r="C154" t="s">
        <v>15</v>
      </c>
      <c r="D154" t="s">
        <v>16</v>
      </c>
      <c r="F154">
        <v>32</v>
      </c>
      <c r="G154" t="s">
        <v>49</v>
      </c>
      <c r="H154">
        <v>110</v>
      </c>
      <c r="I154">
        <v>558</v>
      </c>
      <c r="J154">
        <v>64</v>
      </c>
      <c r="K154">
        <v>0.1646706586826347</v>
      </c>
      <c r="L154">
        <v>0.63218390804597702</v>
      </c>
      <c r="M154">
        <v>0.26128266033254149</v>
      </c>
    </row>
    <row r="155" spans="1:13" x14ac:dyDescent="0.35">
      <c r="A155" t="s">
        <v>13</v>
      </c>
      <c r="B155" t="s">
        <v>69</v>
      </c>
      <c r="C155" t="s">
        <v>15</v>
      </c>
      <c r="D155" t="s">
        <v>18</v>
      </c>
      <c r="F155">
        <v>32</v>
      </c>
      <c r="G155" t="s">
        <v>19</v>
      </c>
      <c r="H155">
        <v>118</v>
      </c>
      <c r="I155">
        <v>68</v>
      </c>
      <c r="J155">
        <v>56</v>
      </c>
      <c r="K155">
        <v>0.63440860215053763</v>
      </c>
      <c r="L155">
        <v>0.67816091954022983</v>
      </c>
      <c r="M155">
        <v>0.65555555555555556</v>
      </c>
    </row>
    <row r="156" spans="1:13" x14ac:dyDescent="0.35">
      <c r="A156" t="s">
        <v>13</v>
      </c>
      <c r="B156" t="s">
        <v>69</v>
      </c>
      <c r="C156" t="s">
        <v>15</v>
      </c>
      <c r="D156" t="s">
        <v>20</v>
      </c>
      <c r="E156" t="s">
        <v>21</v>
      </c>
      <c r="F156">
        <v>32</v>
      </c>
      <c r="G156" t="s">
        <v>54</v>
      </c>
      <c r="H156">
        <v>141</v>
      </c>
      <c r="I156">
        <v>191</v>
      </c>
      <c r="J156">
        <v>33</v>
      </c>
      <c r="K156">
        <v>0.4246987951807229</v>
      </c>
      <c r="L156">
        <v>0.81034482758620685</v>
      </c>
      <c r="M156">
        <v>0.55731225296442688</v>
      </c>
    </row>
    <row r="157" spans="1:13" x14ac:dyDescent="0.35">
      <c r="A157" t="s">
        <v>13</v>
      </c>
      <c r="B157" t="s">
        <v>69</v>
      </c>
      <c r="C157" t="s">
        <v>15</v>
      </c>
      <c r="D157" t="s">
        <v>22</v>
      </c>
      <c r="E157" t="s">
        <v>23</v>
      </c>
      <c r="F157">
        <v>32</v>
      </c>
      <c r="G157" t="s">
        <v>35</v>
      </c>
      <c r="H157">
        <v>149</v>
      </c>
      <c r="I157">
        <v>212</v>
      </c>
      <c r="J157">
        <v>25</v>
      </c>
      <c r="K157">
        <v>0.41274238227146809</v>
      </c>
      <c r="L157">
        <v>0.85632183908045978</v>
      </c>
      <c r="M157">
        <v>0.55700934579439254</v>
      </c>
    </row>
    <row r="158" spans="1:13" x14ac:dyDescent="0.35">
      <c r="A158" t="s">
        <v>13</v>
      </c>
      <c r="B158" t="s">
        <v>70</v>
      </c>
      <c r="C158" t="s">
        <v>15</v>
      </c>
      <c r="D158" t="s">
        <v>16</v>
      </c>
      <c r="F158">
        <v>32</v>
      </c>
      <c r="G158" t="s">
        <v>29</v>
      </c>
      <c r="H158">
        <v>1292</v>
      </c>
      <c r="I158">
        <v>1845</v>
      </c>
      <c r="J158">
        <v>23</v>
      </c>
      <c r="K158">
        <v>0.41185846350015931</v>
      </c>
      <c r="L158">
        <v>0.98250950570342199</v>
      </c>
      <c r="M158">
        <v>0.58041329739442937</v>
      </c>
    </row>
    <row r="159" spans="1:13" x14ac:dyDescent="0.35">
      <c r="A159" t="s">
        <v>13</v>
      </c>
      <c r="B159" t="s">
        <v>70</v>
      </c>
      <c r="C159" t="s">
        <v>15</v>
      </c>
      <c r="D159" t="s">
        <v>18</v>
      </c>
      <c r="F159">
        <v>32</v>
      </c>
      <c r="G159" t="s">
        <v>28</v>
      </c>
      <c r="H159">
        <v>68</v>
      </c>
      <c r="I159">
        <v>158</v>
      </c>
      <c r="J159">
        <v>1247</v>
      </c>
      <c r="K159">
        <v>0.30088495575221241</v>
      </c>
      <c r="L159">
        <v>5.1711026615969498E-2</v>
      </c>
      <c r="M159">
        <v>8.8254380272550198E-2</v>
      </c>
    </row>
    <row r="160" spans="1:13" x14ac:dyDescent="0.35">
      <c r="A160" t="s">
        <v>13</v>
      </c>
      <c r="B160" t="s">
        <v>70</v>
      </c>
      <c r="C160" t="s">
        <v>15</v>
      </c>
      <c r="D160" t="s">
        <v>20</v>
      </c>
      <c r="E160" t="s">
        <v>21</v>
      </c>
      <c r="F160">
        <v>32</v>
      </c>
      <c r="G160" t="s">
        <v>17</v>
      </c>
      <c r="H160">
        <v>1107</v>
      </c>
      <c r="I160">
        <v>1148</v>
      </c>
      <c r="J160">
        <v>208</v>
      </c>
      <c r="K160">
        <v>0.49090909090909091</v>
      </c>
      <c r="L160">
        <v>0.84182509505703418</v>
      </c>
      <c r="M160">
        <v>0.62016806722689077</v>
      </c>
    </row>
    <row r="161" spans="1:13" x14ac:dyDescent="0.35">
      <c r="A161" t="s">
        <v>13</v>
      </c>
      <c r="B161" t="s">
        <v>70</v>
      </c>
      <c r="C161" t="s">
        <v>15</v>
      </c>
      <c r="D161" t="s">
        <v>22</v>
      </c>
      <c r="E161" t="s">
        <v>23</v>
      </c>
      <c r="F161">
        <v>32</v>
      </c>
      <c r="G161" t="s">
        <v>17</v>
      </c>
      <c r="H161">
        <v>1127</v>
      </c>
      <c r="I161">
        <v>1165</v>
      </c>
      <c r="J161">
        <v>188</v>
      </c>
      <c r="K161">
        <v>0.4917102966841187</v>
      </c>
      <c r="L161">
        <v>0.85703422053231937</v>
      </c>
      <c r="M161">
        <v>0.62489603548655392</v>
      </c>
    </row>
    <row r="162" spans="1:13" x14ac:dyDescent="0.35">
      <c r="A162" t="s">
        <v>13</v>
      </c>
      <c r="B162" t="s">
        <v>71</v>
      </c>
      <c r="C162" t="s">
        <v>15</v>
      </c>
      <c r="D162" t="s">
        <v>16</v>
      </c>
      <c r="F162">
        <v>32</v>
      </c>
      <c r="G162" t="s">
        <v>72</v>
      </c>
      <c r="H162">
        <v>1007</v>
      </c>
      <c r="I162">
        <v>1599</v>
      </c>
      <c r="J162">
        <v>95</v>
      </c>
      <c r="K162">
        <v>0.386415963161934</v>
      </c>
      <c r="L162">
        <v>0.91379310344827602</v>
      </c>
      <c r="M162">
        <v>0.54314994606256739</v>
      </c>
    </row>
    <row r="163" spans="1:13" x14ac:dyDescent="0.35">
      <c r="A163" t="s">
        <v>13</v>
      </c>
      <c r="B163" t="s">
        <v>71</v>
      </c>
      <c r="C163" t="s">
        <v>15</v>
      </c>
      <c r="D163" t="s">
        <v>18</v>
      </c>
      <c r="F163">
        <v>32</v>
      </c>
      <c r="G163" t="s">
        <v>43</v>
      </c>
      <c r="H163">
        <v>746</v>
      </c>
      <c r="I163">
        <v>642</v>
      </c>
      <c r="J163">
        <v>356</v>
      </c>
      <c r="K163">
        <v>0.53746397694524495</v>
      </c>
      <c r="L163">
        <v>0.67695099818511795</v>
      </c>
      <c r="M163">
        <v>0.59919678714859448</v>
      </c>
    </row>
    <row r="164" spans="1:13" x14ac:dyDescent="0.35">
      <c r="A164" t="s">
        <v>13</v>
      </c>
      <c r="B164" t="s">
        <v>71</v>
      </c>
      <c r="C164" t="s">
        <v>15</v>
      </c>
      <c r="D164" t="s">
        <v>20</v>
      </c>
      <c r="E164" t="s">
        <v>21</v>
      </c>
      <c r="F164">
        <v>32</v>
      </c>
      <c r="G164" t="s">
        <v>29</v>
      </c>
      <c r="H164">
        <v>1034</v>
      </c>
      <c r="I164">
        <v>607</v>
      </c>
      <c r="J164">
        <v>68</v>
      </c>
      <c r="K164">
        <v>0.63010359536867766</v>
      </c>
      <c r="L164">
        <v>0.93829401088929221</v>
      </c>
      <c r="M164">
        <v>0.75391906671527531</v>
      </c>
    </row>
    <row r="165" spans="1:13" x14ac:dyDescent="0.35">
      <c r="A165" t="s">
        <v>13</v>
      </c>
      <c r="B165" t="s">
        <v>71</v>
      </c>
      <c r="C165" t="s">
        <v>15</v>
      </c>
      <c r="D165" t="s">
        <v>22</v>
      </c>
      <c r="E165" t="s">
        <v>23</v>
      </c>
      <c r="F165">
        <v>32</v>
      </c>
      <c r="G165" t="s">
        <v>29</v>
      </c>
      <c r="H165">
        <v>1039</v>
      </c>
      <c r="I165">
        <v>632</v>
      </c>
      <c r="J165">
        <v>63</v>
      </c>
      <c r="K165">
        <v>0.62178336325553563</v>
      </c>
      <c r="L165">
        <v>0.94283121597096198</v>
      </c>
      <c r="M165">
        <v>0.7493689145329967</v>
      </c>
    </row>
    <row r="166" spans="1:13" x14ac:dyDescent="0.35">
      <c r="A166" t="s">
        <v>13</v>
      </c>
      <c r="B166" t="s">
        <v>73</v>
      </c>
      <c r="C166" t="s">
        <v>15</v>
      </c>
      <c r="D166" t="s">
        <v>16</v>
      </c>
      <c r="F166">
        <v>32</v>
      </c>
      <c r="G166" t="s">
        <v>17</v>
      </c>
      <c r="H166">
        <v>1273</v>
      </c>
      <c r="I166">
        <v>1537</v>
      </c>
      <c r="J166">
        <v>6</v>
      </c>
      <c r="K166">
        <v>0.45302491103202841</v>
      </c>
      <c r="L166">
        <v>0.99530883502736522</v>
      </c>
      <c r="M166">
        <v>0.6226461237466373</v>
      </c>
    </row>
    <row r="167" spans="1:13" x14ac:dyDescent="0.35">
      <c r="A167" t="s">
        <v>13</v>
      </c>
      <c r="B167" t="s">
        <v>73</v>
      </c>
      <c r="C167" t="s">
        <v>15</v>
      </c>
      <c r="D167" t="s">
        <v>18</v>
      </c>
      <c r="F167">
        <v>32</v>
      </c>
      <c r="G167" t="s">
        <v>74</v>
      </c>
      <c r="H167">
        <v>4</v>
      </c>
      <c r="I167">
        <v>62</v>
      </c>
      <c r="J167">
        <v>1275</v>
      </c>
      <c r="K167">
        <v>6.0606060606060601E-2</v>
      </c>
      <c r="L167">
        <v>3.1274433150899001E-3</v>
      </c>
      <c r="M167">
        <v>5.9479553903345004E-3</v>
      </c>
    </row>
    <row r="168" spans="1:13" x14ac:dyDescent="0.35">
      <c r="A168" t="s">
        <v>13</v>
      </c>
      <c r="B168" t="s">
        <v>73</v>
      </c>
      <c r="C168" t="s">
        <v>15</v>
      </c>
      <c r="D168" t="s">
        <v>20</v>
      </c>
      <c r="E168" t="s">
        <v>21</v>
      </c>
      <c r="F168">
        <v>32</v>
      </c>
      <c r="G168" t="s">
        <v>29</v>
      </c>
      <c r="H168">
        <v>1227</v>
      </c>
      <c r="I168">
        <v>478</v>
      </c>
      <c r="J168">
        <v>52</v>
      </c>
      <c r="K168">
        <v>0.71964809384164219</v>
      </c>
      <c r="L168">
        <v>0.95934323690383116</v>
      </c>
      <c r="M168">
        <v>0.82238605898123329</v>
      </c>
    </row>
    <row r="169" spans="1:13" x14ac:dyDescent="0.35">
      <c r="A169" t="s">
        <v>13</v>
      </c>
      <c r="B169" t="s">
        <v>73</v>
      </c>
      <c r="C169" t="s">
        <v>15</v>
      </c>
      <c r="D169" t="s">
        <v>22</v>
      </c>
      <c r="E169" t="s">
        <v>23</v>
      </c>
      <c r="F169">
        <v>32</v>
      </c>
      <c r="G169" t="s">
        <v>29</v>
      </c>
      <c r="H169">
        <v>1234</v>
      </c>
      <c r="I169">
        <v>519</v>
      </c>
      <c r="J169">
        <v>45</v>
      </c>
      <c r="K169">
        <v>0.70393610952652597</v>
      </c>
      <c r="L169">
        <v>0.96481626270523835</v>
      </c>
      <c r="M169">
        <v>0.81398416886543534</v>
      </c>
    </row>
    <row r="170" spans="1:13" x14ac:dyDescent="0.35">
      <c r="A170" t="s">
        <v>13</v>
      </c>
      <c r="B170" t="s">
        <v>75</v>
      </c>
      <c r="C170" t="s">
        <v>15</v>
      </c>
      <c r="D170" t="s">
        <v>16</v>
      </c>
      <c r="F170">
        <v>32</v>
      </c>
      <c r="G170" t="s">
        <v>17</v>
      </c>
      <c r="H170">
        <v>3780</v>
      </c>
      <c r="I170">
        <v>978</v>
      </c>
      <c r="J170">
        <v>7</v>
      </c>
      <c r="K170">
        <v>0.79445145018915508</v>
      </c>
      <c r="L170">
        <v>0.99815157116451003</v>
      </c>
      <c r="M170">
        <v>0.88472791105909887</v>
      </c>
    </row>
    <row r="171" spans="1:13" x14ac:dyDescent="0.35">
      <c r="A171" t="s">
        <v>13</v>
      </c>
      <c r="B171" t="s">
        <v>75</v>
      </c>
      <c r="C171" t="s">
        <v>15</v>
      </c>
      <c r="D171" t="s">
        <v>18</v>
      </c>
      <c r="F171">
        <v>32</v>
      </c>
      <c r="G171" t="s">
        <v>76</v>
      </c>
      <c r="H171">
        <v>2552</v>
      </c>
      <c r="I171">
        <v>1000</v>
      </c>
      <c r="J171">
        <v>1235</v>
      </c>
      <c r="K171">
        <v>0.71846846846846846</v>
      </c>
      <c r="L171">
        <v>0.67388434116715079</v>
      </c>
      <c r="M171">
        <v>0.69546259708407132</v>
      </c>
    </row>
    <row r="172" spans="1:13" x14ac:dyDescent="0.35">
      <c r="A172" t="s">
        <v>13</v>
      </c>
      <c r="B172" t="s">
        <v>75</v>
      </c>
      <c r="C172" t="s">
        <v>15</v>
      </c>
      <c r="D172" t="s">
        <v>20</v>
      </c>
      <c r="E172" t="s">
        <v>21</v>
      </c>
      <c r="F172">
        <v>32</v>
      </c>
      <c r="G172" t="s">
        <v>17</v>
      </c>
      <c r="H172">
        <v>3514</v>
      </c>
      <c r="I172">
        <v>459</v>
      </c>
      <c r="J172">
        <v>273</v>
      </c>
      <c r="K172">
        <v>0.88447017367228797</v>
      </c>
      <c r="L172">
        <v>0.92791127541589635</v>
      </c>
      <c r="M172">
        <v>0.90567010309278362</v>
      </c>
    </row>
    <row r="173" spans="1:13" x14ac:dyDescent="0.35">
      <c r="A173" t="s">
        <v>13</v>
      </c>
      <c r="B173" t="s">
        <v>75</v>
      </c>
      <c r="C173" t="s">
        <v>15</v>
      </c>
      <c r="D173" t="s">
        <v>22</v>
      </c>
      <c r="E173" t="s">
        <v>23</v>
      </c>
      <c r="F173">
        <v>32</v>
      </c>
      <c r="G173" t="s">
        <v>17</v>
      </c>
      <c r="H173">
        <v>3610</v>
      </c>
      <c r="I173">
        <v>509</v>
      </c>
      <c r="J173">
        <v>177</v>
      </c>
      <c r="K173">
        <v>0.87642631706724938</v>
      </c>
      <c r="L173">
        <v>0.95326115658832844</v>
      </c>
      <c r="M173">
        <v>0.91323045788009116</v>
      </c>
    </row>
    <row r="174" spans="1:13" x14ac:dyDescent="0.35">
      <c r="A174" t="s">
        <v>13</v>
      </c>
      <c r="B174" t="s">
        <v>77</v>
      </c>
      <c r="C174" t="s">
        <v>15</v>
      </c>
      <c r="D174" t="s">
        <v>16</v>
      </c>
      <c r="F174">
        <v>32</v>
      </c>
      <c r="G174" t="s">
        <v>17</v>
      </c>
      <c r="H174">
        <v>479</v>
      </c>
      <c r="I174">
        <v>590</v>
      </c>
      <c r="J174">
        <v>0</v>
      </c>
      <c r="K174">
        <v>0.44808231992516367</v>
      </c>
      <c r="L174">
        <v>1</v>
      </c>
      <c r="M174">
        <v>0.61886304909560719</v>
      </c>
    </row>
    <row r="175" spans="1:13" x14ac:dyDescent="0.35">
      <c r="A175" t="s">
        <v>13</v>
      </c>
      <c r="B175" t="s">
        <v>77</v>
      </c>
      <c r="C175" t="s">
        <v>15</v>
      </c>
      <c r="D175" t="s">
        <v>18</v>
      </c>
      <c r="F175">
        <v>32</v>
      </c>
      <c r="G175" t="s">
        <v>43</v>
      </c>
      <c r="H175">
        <v>413</v>
      </c>
      <c r="I175">
        <v>71</v>
      </c>
      <c r="J175">
        <v>66</v>
      </c>
      <c r="K175">
        <v>0.85330578512396693</v>
      </c>
      <c r="L175">
        <v>0.86221294363256784</v>
      </c>
      <c r="M175">
        <v>0.85773624091381095</v>
      </c>
    </row>
    <row r="176" spans="1:13" x14ac:dyDescent="0.35">
      <c r="A176" t="s">
        <v>13</v>
      </c>
      <c r="B176" t="s">
        <v>77</v>
      </c>
      <c r="C176" t="s">
        <v>15</v>
      </c>
      <c r="D176" t="s">
        <v>20</v>
      </c>
      <c r="E176" t="s">
        <v>21</v>
      </c>
      <c r="F176">
        <v>32</v>
      </c>
      <c r="G176" t="s">
        <v>78</v>
      </c>
      <c r="H176">
        <v>467</v>
      </c>
      <c r="I176">
        <v>193</v>
      </c>
      <c r="J176">
        <v>12</v>
      </c>
      <c r="K176">
        <v>0.70757575757575752</v>
      </c>
      <c r="L176">
        <v>0.97494780793319402</v>
      </c>
      <c r="M176">
        <v>0.82001755926251085</v>
      </c>
    </row>
    <row r="177" spans="1:13" x14ac:dyDescent="0.35">
      <c r="A177" t="s">
        <v>13</v>
      </c>
      <c r="B177" t="s">
        <v>77</v>
      </c>
      <c r="C177" t="s">
        <v>15</v>
      </c>
      <c r="D177" t="s">
        <v>22</v>
      </c>
      <c r="E177" t="s">
        <v>23</v>
      </c>
      <c r="F177">
        <v>32</v>
      </c>
      <c r="G177" t="s">
        <v>78</v>
      </c>
      <c r="H177">
        <v>467</v>
      </c>
      <c r="I177">
        <v>207</v>
      </c>
      <c r="J177">
        <v>12</v>
      </c>
      <c r="K177">
        <v>0.69287833827893175</v>
      </c>
      <c r="L177">
        <v>0.97494780793319402</v>
      </c>
      <c r="M177">
        <v>0.81006071118820477</v>
      </c>
    </row>
    <row r="178" spans="1:13" x14ac:dyDescent="0.35">
      <c r="A178" t="s">
        <v>13</v>
      </c>
      <c r="B178" t="s">
        <v>79</v>
      </c>
      <c r="C178" t="s">
        <v>15</v>
      </c>
      <c r="D178" t="s">
        <v>16</v>
      </c>
      <c r="F178">
        <v>32</v>
      </c>
      <c r="G178" t="s">
        <v>17</v>
      </c>
      <c r="H178">
        <v>680</v>
      </c>
      <c r="I178">
        <v>590</v>
      </c>
      <c r="J178">
        <v>3</v>
      </c>
      <c r="K178">
        <v>0.53543307086614178</v>
      </c>
      <c r="L178">
        <v>0.99560761346998539</v>
      </c>
      <c r="M178">
        <v>0.69636456733230934</v>
      </c>
    </row>
    <row r="179" spans="1:13" x14ac:dyDescent="0.35">
      <c r="A179" t="s">
        <v>13</v>
      </c>
      <c r="B179" t="s">
        <v>79</v>
      </c>
      <c r="C179" t="s">
        <v>15</v>
      </c>
      <c r="D179" t="s">
        <v>18</v>
      </c>
      <c r="F179">
        <v>32</v>
      </c>
      <c r="G179" t="s">
        <v>17</v>
      </c>
      <c r="H179">
        <v>652</v>
      </c>
      <c r="I179">
        <v>154</v>
      </c>
      <c r="J179">
        <v>31</v>
      </c>
      <c r="K179">
        <v>0.80893300248138955</v>
      </c>
      <c r="L179">
        <v>0.9546120058565154</v>
      </c>
      <c r="M179">
        <v>0.87575554063129613</v>
      </c>
    </row>
    <row r="180" spans="1:13" x14ac:dyDescent="0.35">
      <c r="A180" t="s">
        <v>13</v>
      </c>
      <c r="B180" t="s">
        <v>79</v>
      </c>
      <c r="C180" t="s">
        <v>15</v>
      </c>
      <c r="D180" t="s">
        <v>20</v>
      </c>
      <c r="E180" t="s">
        <v>21</v>
      </c>
      <c r="F180">
        <v>32</v>
      </c>
      <c r="G180" t="s">
        <v>35</v>
      </c>
      <c r="H180">
        <v>631</v>
      </c>
      <c r="I180">
        <v>157</v>
      </c>
      <c r="J180">
        <v>52</v>
      </c>
      <c r="K180">
        <v>0.800761421319797</v>
      </c>
      <c r="L180">
        <v>0.92386530014641277</v>
      </c>
      <c r="M180">
        <v>0.85791978246091094</v>
      </c>
    </row>
    <row r="181" spans="1:13" x14ac:dyDescent="0.35">
      <c r="A181" t="s">
        <v>13</v>
      </c>
      <c r="B181" t="s">
        <v>79</v>
      </c>
      <c r="C181" t="s">
        <v>15</v>
      </c>
      <c r="D181" t="s">
        <v>22</v>
      </c>
      <c r="E181" t="s">
        <v>23</v>
      </c>
      <c r="F181">
        <v>32</v>
      </c>
      <c r="G181" t="s">
        <v>28</v>
      </c>
      <c r="H181">
        <v>623</v>
      </c>
      <c r="I181">
        <v>152</v>
      </c>
      <c r="J181">
        <v>60</v>
      </c>
      <c r="K181">
        <v>0.80387096774193545</v>
      </c>
      <c r="L181">
        <v>0.91215226939970717</v>
      </c>
      <c r="M181">
        <v>0.85459533607681748</v>
      </c>
    </row>
    <row r="182" spans="1:13" x14ac:dyDescent="0.35">
      <c r="A182" t="s">
        <v>13</v>
      </c>
      <c r="B182" t="s">
        <v>80</v>
      </c>
      <c r="C182" t="s">
        <v>15</v>
      </c>
      <c r="D182" t="s">
        <v>16</v>
      </c>
      <c r="F182">
        <v>32</v>
      </c>
      <c r="G182" t="s">
        <v>29</v>
      </c>
      <c r="H182">
        <v>263</v>
      </c>
      <c r="I182">
        <v>776</v>
      </c>
      <c r="J182">
        <v>1</v>
      </c>
      <c r="K182">
        <v>0.25312800769971128</v>
      </c>
      <c r="L182">
        <v>0.99621212121212122</v>
      </c>
      <c r="M182">
        <v>0.40368380660015352</v>
      </c>
    </row>
    <row r="183" spans="1:13" x14ac:dyDescent="0.35">
      <c r="A183" t="s">
        <v>13</v>
      </c>
      <c r="B183" t="s">
        <v>80</v>
      </c>
      <c r="C183" t="s">
        <v>15</v>
      </c>
      <c r="D183" t="s">
        <v>18</v>
      </c>
      <c r="F183">
        <v>32</v>
      </c>
      <c r="G183" t="s">
        <v>29</v>
      </c>
      <c r="H183">
        <v>222</v>
      </c>
      <c r="I183">
        <v>116</v>
      </c>
      <c r="J183">
        <v>42</v>
      </c>
      <c r="K183">
        <v>0.65680473372781067</v>
      </c>
      <c r="L183">
        <v>0.84090909090909094</v>
      </c>
      <c r="M183">
        <v>0.73754152823920271</v>
      </c>
    </row>
    <row r="184" spans="1:13" x14ac:dyDescent="0.35">
      <c r="A184" t="s">
        <v>13</v>
      </c>
      <c r="B184" t="s">
        <v>80</v>
      </c>
      <c r="C184" t="s">
        <v>15</v>
      </c>
      <c r="D184" t="s">
        <v>20</v>
      </c>
      <c r="E184" t="s">
        <v>21</v>
      </c>
      <c r="F184">
        <v>32</v>
      </c>
      <c r="G184" t="s">
        <v>28</v>
      </c>
      <c r="H184">
        <v>188</v>
      </c>
      <c r="I184">
        <v>117</v>
      </c>
      <c r="J184">
        <v>76</v>
      </c>
      <c r="K184">
        <v>0.61639344262295082</v>
      </c>
      <c r="L184">
        <v>0.71212121212121215</v>
      </c>
      <c r="M184">
        <v>0.66080843585237259</v>
      </c>
    </row>
    <row r="185" spans="1:13" x14ac:dyDescent="0.35">
      <c r="A185" t="s">
        <v>13</v>
      </c>
      <c r="B185" t="s">
        <v>80</v>
      </c>
      <c r="C185" t="s">
        <v>15</v>
      </c>
      <c r="D185" t="s">
        <v>22</v>
      </c>
      <c r="E185" t="s">
        <v>23</v>
      </c>
      <c r="F185">
        <v>32</v>
      </c>
      <c r="G185" t="s">
        <v>28</v>
      </c>
      <c r="H185">
        <v>194</v>
      </c>
      <c r="I185">
        <v>131</v>
      </c>
      <c r="J185">
        <v>70</v>
      </c>
      <c r="K185">
        <v>0.59692307692307689</v>
      </c>
      <c r="L185">
        <v>0.73484848484848486</v>
      </c>
      <c r="M185">
        <v>0.65874363327674024</v>
      </c>
    </row>
    <row r="186" spans="1:13" x14ac:dyDescent="0.35">
      <c r="A186" t="s">
        <v>13</v>
      </c>
      <c r="B186" t="s">
        <v>81</v>
      </c>
      <c r="C186" t="s">
        <v>15</v>
      </c>
      <c r="D186" t="s">
        <v>16</v>
      </c>
      <c r="F186">
        <v>32</v>
      </c>
      <c r="G186" t="s">
        <v>17</v>
      </c>
      <c r="H186">
        <v>1807</v>
      </c>
      <c r="I186">
        <v>1303</v>
      </c>
      <c r="J186">
        <v>6</v>
      </c>
      <c r="K186">
        <v>0.58102893890675245</v>
      </c>
      <c r="L186">
        <v>0.99669056811913959</v>
      </c>
      <c r="M186">
        <v>0.73410522039406867</v>
      </c>
    </row>
    <row r="187" spans="1:13" x14ac:dyDescent="0.35">
      <c r="A187" t="s">
        <v>13</v>
      </c>
      <c r="B187" t="s">
        <v>81</v>
      </c>
      <c r="C187" t="s">
        <v>15</v>
      </c>
      <c r="D187" t="s">
        <v>18</v>
      </c>
      <c r="F187">
        <v>32</v>
      </c>
      <c r="G187" t="s">
        <v>43</v>
      </c>
      <c r="H187">
        <v>445</v>
      </c>
      <c r="I187">
        <v>1246</v>
      </c>
      <c r="J187">
        <v>1368</v>
      </c>
      <c r="K187">
        <v>0.26315789473684209</v>
      </c>
      <c r="L187">
        <v>0.24544953116381679</v>
      </c>
      <c r="M187">
        <v>0.25399543378995432</v>
      </c>
    </row>
    <row r="188" spans="1:13" x14ac:dyDescent="0.35">
      <c r="A188" t="s">
        <v>13</v>
      </c>
      <c r="B188" t="s">
        <v>81</v>
      </c>
      <c r="C188" t="s">
        <v>15</v>
      </c>
      <c r="D188" t="s">
        <v>20</v>
      </c>
      <c r="E188" t="s">
        <v>21</v>
      </c>
      <c r="F188">
        <v>32</v>
      </c>
      <c r="G188" t="s">
        <v>17</v>
      </c>
      <c r="H188">
        <v>1759</v>
      </c>
      <c r="I188">
        <v>424</v>
      </c>
      <c r="J188">
        <v>54</v>
      </c>
      <c r="K188">
        <v>0.80577187356848379</v>
      </c>
      <c r="L188">
        <v>0.97021511307225605</v>
      </c>
      <c r="M188">
        <v>0.88038038038038036</v>
      </c>
    </row>
    <row r="189" spans="1:13" x14ac:dyDescent="0.35">
      <c r="A189" t="s">
        <v>13</v>
      </c>
      <c r="B189" t="s">
        <v>81</v>
      </c>
      <c r="C189" t="s">
        <v>15</v>
      </c>
      <c r="D189" t="s">
        <v>22</v>
      </c>
      <c r="E189" t="s">
        <v>23</v>
      </c>
      <c r="F189">
        <v>32</v>
      </c>
      <c r="G189" t="s">
        <v>17</v>
      </c>
      <c r="H189">
        <v>1766</v>
      </c>
      <c r="I189">
        <v>458</v>
      </c>
      <c r="J189">
        <v>47</v>
      </c>
      <c r="K189">
        <v>0.7940647482014388</v>
      </c>
      <c r="L189">
        <v>0.97407611693325979</v>
      </c>
      <c r="M189">
        <v>0.8749071092395343</v>
      </c>
    </row>
    <row r="190" spans="1:13" x14ac:dyDescent="0.35">
      <c r="A190" t="s">
        <v>13</v>
      </c>
      <c r="B190" t="s">
        <v>82</v>
      </c>
      <c r="C190" t="s">
        <v>15</v>
      </c>
      <c r="D190" t="s">
        <v>16</v>
      </c>
      <c r="F190">
        <v>32</v>
      </c>
      <c r="G190" t="s">
        <v>29</v>
      </c>
      <c r="H190">
        <v>1412</v>
      </c>
      <c r="I190">
        <v>1639</v>
      </c>
      <c r="J190">
        <v>7</v>
      </c>
      <c r="K190">
        <v>0.46279908226810879</v>
      </c>
      <c r="L190">
        <v>0.99506694855532063</v>
      </c>
      <c r="M190">
        <v>0.6317673378076063</v>
      </c>
    </row>
    <row r="191" spans="1:13" x14ac:dyDescent="0.35">
      <c r="A191" t="s">
        <v>13</v>
      </c>
      <c r="B191" t="s">
        <v>82</v>
      </c>
      <c r="C191" t="s">
        <v>15</v>
      </c>
      <c r="D191" t="s">
        <v>18</v>
      </c>
      <c r="F191">
        <v>32</v>
      </c>
      <c r="G191" t="s">
        <v>19</v>
      </c>
      <c r="H191">
        <v>1067</v>
      </c>
      <c r="I191">
        <v>664</v>
      </c>
      <c r="J191">
        <v>352</v>
      </c>
      <c r="K191">
        <v>0.61640670132871178</v>
      </c>
      <c r="L191">
        <v>0.75193798449612403</v>
      </c>
      <c r="M191">
        <v>0.67746031746031754</v>
      </c>
    </row>
    <row r="192" spans="1:13" x14ac:dyDescent="0.35">
      <c r="A192" t="s">
        <v>13</v>
      </c>
      <c r="B192" t="s">
        <v>82</v>
      </c>
      <c r="C192" t="s">
        <v>15</v>
      </c>
      <c r="D192" t="s">
        <v>20</v>
      </c>
      <c r="E192" t="s">
        <v>21</v>
      </c>
      <c r="F192">
        <v>32</v>
      </c>
      <c r="G192" t="s">
        <v>29</v>
      </c>
      <c r="H192">
        <v>1151</v>
      </c>
      <c r="I192">
        <v>445</v>
      </c>
      <c r="J192">
        <v>268</v>
      </c>
      <c r="K192">
        <v>0.72117794486215536</v>
      </c>
      <c r="L192">
        <v>0.81113460183227626</v>
      </c>
      <c r="M192">
        <v>0.76351575456053067</v>
      </c>
    </row>
    <row r="193" spans="1:13" x14ac:dyDescent="0.35">
      <c r="A193" t="s">
        <v>13</v>
      </c>
      <c r="B193" t="s">
        <v>82</v>
      </c>
      <c r="C193" t="s">
        <v>15</v>
      </c>
      <c r="D193" t="s">
        <v>22</v>
      </c>
      <c r="E193" t="s">
        <v>23</v>
      </c>
      <c r="F193">
        <v>32</v>
      </c>
      <c r="G193" t="s">
        <v>29</v>
      </c>
      <c r="H193">
        <v>1182</v>
      </c>
      <c r="I193">
        <v>489</v>
      </c>
      <c r="J193">
        <v>237</v>
      </c>
      <c r="K193">
        <v>0.70736086175942547</v>
      </c>
      <c r="L193">
        <v>0.83298097251585623</v>
      </c>
      <c r="M193">
        <v>0.7650485436893204</v>
      </c>
    </row>
    <row r="194" spans="1:13" x14ac:dyDescent="0.35">
      <c r="A194" t="s">
        <v>13</v>
      </c>
      <c r="B194" t="s">
        <v>83</v>
      </c>
      <c r="C194" t="s">
        <v>15</v>
      </c>
      <c r="D194" t="s">
        <v>16</v>
      </c>
      <c r="F194">
        <v>32</v>
      </c>
      <c r="G194" t="s">
        <v>29</v>
      </c>
      <c r="H194">
        <v>1899</v>
      </c>
      <c r="I194">
        <v>1274</v>
      </c>
      <c r="J194">
        <v>4</v>
      </c>
      <c r="K194">
        <v>0.59848723605420739</v>
      </c>
      <c r="L194">
        <v>0.99789805570152401</v>
      </c>
      <c r="M194">
        <v>0.74822695035460995</v>
      </c>
    </row>
    <row r="195" spans="1:13" x14ac:dyDescent="0.35">
      <c r="A195" t="s">
        <v>13</v>
      </c>
      <c r="B195" t="s">
        <v>83</v>
      </c>
      <c r="C195" t="s">
        <v>15</v>
      </c>
      <c r="D195" t="s">
        <v>18</v>
      </c>
      <c r="F195">
        <v>32</v>
      </c>
      <c r="G195" t="s">
        <v>29</v>
      </c>
      <c r="H195">
        <v>427</v>
      </c>
      <c r="I195">
        <v>256</v>
      </c>
      <c r="J195">
        <v>1476</v>
      </c>
      <c r="K195">
        <v>0.62518301610541727</v>
      </c>
      <c r="L195">
        <v>0.22438255386232259</v>
      </c>
      <c r="M195">
        <v>0.33023975251353438</v>
      </c>
    </row>
    <row r="196" spans="1:13" x14ac:dyDescent="0.35">
      <c r="A196" t="s">
        <v>13</v>
      </c>
      <c r="B196" t="s">
        <v>83</v>
      </c>
      <c r="C196" t="s">
        <v>15</v>
      </c>
      <c r="D196" t="s">
        <v>20</v>
      </c>
      <c r="E196" t="s">
        <v>21</v>
      </c>
      <c r="F196">
        <v>32</v>
      </c>
      <c r="G196" t="s">
        <v>17</v>
      </c>
      <c r="H196">
        <v>1847</v>
      </c>
      <c r="I196">
        <v>422</v>
      </c>
      <c r="J196">
        <v>56</v>
      </c>
      <c r="K196">
        <v>0.81401498457470256</v>
      </c>
      <c r="L196">
        <v>0.97057277982133483</v>
      </c>
      <c r="M196">
        <v>0.88542665388302977</v>
      </c>
    </row>
    <row r="197" spans="1:13" x14ac:dyDescent="0.35">
      <c r="A197" t="s">
        <v>13</v>
      </c>
      <c r="B197" t="s">
        <v>83</v>
      </c>
      <c r="C197" t="s">
        <v>15</v>
      </c>
      <c r="D197" t="s">
        <v>22</v>
      </c>
      <c r="E197" t="s">
        <v>23</v>
      </c>
      <c r="F197">
        <v>32</v>
      </c>
      <c r="G197" t="s">
        <v>54</v>
      </c>
      <c r="H197">
        <v>1714</v>
      </c>
      <c r="I197">
        <v>282</v>
      </c>
      <c r="J197">
        <v>189</v>
      </c>
      <c r="K197">
        <v>0.8587174348697395</v>
      </c>
      <c r="L197">
        <v>0.90068313189700477</v>
      </c>
      <c r="M197">
        <v>0.87919979481918453</v>
      </c>
    </row>
    <row r="198" spans="1:13" x14ac:dyDescent="0.35">
      <c r="A198" t="s">
        <v>13</v>
      </c>
      <c r="B198" t="s">
        <v>84</v>
      </c>
      <c r="C198" t="s">
        <v>15</v>
      </c>
      <c r="D198" t="s">
        <v>16</v>
      </c>
      <c r="F198">
        <v>32</v>
      </c>
      <c r="G198" t="s">
        <v>85</v>
      </c>
      <c r="H198">
        <v>1031</v>
      </c>
      <c r="I198">
        <v>502</v>
      </c>
      <c r="J198">
        <v>60</v>
      </c>
      <c r="K198">
        <v>0.67253750815394653</v>
      </c>
      <c r="L198">
        <v>0.94500458295142076</v>
      </c>
      <c r="M198">
        <v>0.78582317073170727</v>
      </c>
    </row>
    <row r="199" spans="1:13" x14ac:dyDescent="0.35">
      <c r="A199" t="s">
        <v>13</v>
      </c>
      <c r="B199" t="s">
        <v>84</v>
      </c>
      <c r="C199" t="s">
        <v>15</v>
      </c>
      <c r="D199" t="s">
        <v>18</v>
      </c>
      <c r="F199">
        <v>32</v>
      </c>
      <c r="G199" t="s">
        <v>29</v>
      </c>
      <c r="H199">
        <v>1044</v>
      </c>
      <c r="I199">
        <v>132</v>
      </c>
      <c r="J199">
        <v>47</v>
      </c>
      <c r="K199">
        <v>0.88775510204081631</v>
      </c>
      <c r="L199">
        <v>0.95692025664527958</v>
      </c>
      <c r="M199">
        <v>0.9210410233789148</v>
      </c>
    </row>
    <row r="200" spans="1:13" x14ac:dyDescent="0.35">
      <c r="A200" t="s">
        <v>13</v>
      </c>
      <c r="B200" t="s">
        <v>84</v>
      </c>
      <c r="C200" t="s">
        <v>15</v>
      </c>
      <c r="D200" t="s">
        <v>20</v>
      </c>
      <c r="E200" t="s">
        <v>21</v>
      </c>
      <c r="F200">
        <v>32</v>
      </c>
      <c r="G200" t="s">
        <v>17</v>
      </c>
      <c r="H200">
        <v>1064</v>
      </c>
      <c r="I200">
        <v>87</v>
      </c>
      <c r="J200">
        <v>27</v>
      </c>
      <c r="K200">
        <v>0.92441355343179843</v>
      </c>
      <c r="L200">
        <v>0.97525206232813921</v>
      </c>
      <c r="M200">
        <v>0.94915254237288116</v>
      </c>
    </row>
    <row r="201" spans="1:13" x14ac:dyDescent="0.35">
      <c r="A201" t="s">
        <v>13</v>
      </c>
      <c r="B201" t="s">
        <v>84</v>
      </c>
      <c r="C201" t="s">
        <v>15</v>
      </c>
      <c r="D201" t="s">
        <v>22</v>
      </c>
      <c r="E201" t="s">
        <v>23</v>
      </c>
      <c r="F201">
        <v>32</v>
      </c>
      <c r="G201" t="s">
        <v>17</v>
      </c>
      <c r="H201">
        <v>1069</v>
      </c>
      <c r="I201">
        <v>126</v>
      </c>
      <c r="J201">
        <v>22</v>
      </c>
      <c r="K201">
        <v>0.89456066945606694</v>
      </c>
      <c r="L201">
        <v>0.9798350137488544</v>
      </c>
      <c r="M201">
        <v>0.93525809273840765</v>
      </c>
    </row>
    <row r="202" spans="1:13" x14ac:dyDescent="0.35">
      <c r="A202" t="s">
        <v>13</v>
      </c>
      <c r="B202" t="s">
        <v>86</v>
      </c>
      <c r="C202" t="s">
        <v>15</v>
      </c>
      <c r="D202" t="s">
        <v>16</v>
      </c>
      <c r="F202">
        <v>32</v>
      </c>
      <c r="G202" t="s">
        <v>35</v>
      </c>
      <c r="H202">
        <v>1071</v>
      </c>
      <c r="I202">
        <v>455</v>
      </c>
      <c r="J202">
        <v>2</v>
      </c>
      <c r="K202">
        <v>0.70183486238532111</v>
      </c>
      <c r="L202">
        <v>0.99813606710158442</v>
      </c>
      <c r="M202">
        <v>0.82416313966910348</v>
      </c>
    </row>
    <row r="203" spans="1:13" x14ac:dyDescent="0.35">
      <c r="A203" t="s">
        <v>13</v>
      </c>
      <c r="B203" t="s">
        <v>86</v>
      </c>
      <c r="C203" t="s">
        <v>15</v>
      </c>
      <c r="D203" t="s">
        <v>18</v>
      </c>
      <c r="F203">
        <v>32</v>
      </c>
      <c r="G203" t="s">
        <v>17</v>
      </c>
      <c r="H203">
        <v>1059</v>
      </c>
      <c r="I203">
        <v>239</v>
      </c>
      <c r="J203">
        <v>14</v>
      </c>
      <c r="K203">
        <v>0.81587057010785824</v>
      </c>
      <c r="L203">
        <v>0.98695246971109041</v>
      </c>
      <c r="M203">
        <v>0.89329396878954026</v>
      </c>
    </row>
    <row r="204" spans="1:13" x14ac:dyDescent="0.35">
      <c r="A204" t="s">
        <v>13</v>
      </c>
      <c r="B204" t="s">
        <v>86</v>
      </c>
      <c r="C204" t="s">
        <v>15</v>
      </c>
      <c r="D204" t="s">
        <v>20</v>
      </c>
      <c r="E204" t="s">
        <v>21</v>
      </c>
      <c r="F204">
        <v>32</v>
      </c>
      <c r="G204" t="s">
        <v>17</v>
      </c>
      <c r="H204">
        <v>1056</v>
      </c>
      <c r="I204">
        <v>67</v>
      </c>
      <c r="J204">
        <v>17</v>
      </c>
      <c r="K204">
        <v>0.9403383793410508</v>
      </c>
      <c r="L204">
        <v>0.98415657036346682</v>
      </c>
      <c r="M204">
        <v>0.96174863387978138</v>
      </c>
    </row>
    <row r="205" spans="1:13" x14ac:dyDescent="0.35">
      <c r="A205" t="s">
        <v>13</v>
      </c>
      <c r="B205" t="s">
        <v>86</v>
      </c>
      <c r="C205" t="s">
        <v>15</v>
      </c>
      <c r="D205" t="s">
        <v>22</v>
      </c>
      <c r="E205" t="s">
        <v>23</v>
      </c>
      <c r="F205">
        <v>32</v>
      </c>
      <c r="G205" t="s">
        <v>35</v>
      </c>
      <c r="H205">
        <v>1054</v>
      </c>
      <c r="I205">
        <v>77</v>
      </c>
      <c r="J205">
        <v>19</v>
      </c>
      <c r="K205">
        <v>0.93191865605658719</v>
      </c>
      <c r="L205">
        <v>0.98229263746505124</v>
      </c>
      <c r="M205">
        <v>0.95644283121597085</v>
      </c>
    </row>
    <row r="206" spans="1:13" x14ac:dyDescent="0.35">
      <c r="A206" t="s">
        <v>13</v>
      </c>
      <c r="B206" t="s">
        <v>87</v>
      </c>
      <c r="C206" t="s">
        <v>15</v>
      </c>
      <c r="D206" t="s">
        <v>16</v>
      </c>
      <c r="F206">
        <v>32</v>
      </c>
      <c r="G206" t="s">
        <v>17</v>
      </c>
      <c r="H206">
        <v>2543</v>
      </c>
      <c r="I206">
        <v>1075</v>
      </c>
      <c r="J206">
        <v>12</v>
      </c>
      <c r="K206">
        <v>0.70287451630735209</v>
      </c>
      <c r="L206">
        <v>0.99530332681017597</v>
      </c>
      <c r="M206">
        <v>0.82391057832496351</v>
      </c>
    </row>
    <row r="207" spans="1:13" x14ac:dyDescent="0.35">
      <c r="A207" t="s">
        <v>13</v>
      </c>
      <c r="B207" t="s">
        <v>87</v>
      </c>
      <c r="C207" t="s">
        <v>15</v>
      </c>
      <c r="D207" t="s">
        <v>18</v>
      </c>
      <c r="F207">
        <v>32</v>
      </c>
      <c r="G207" t="s">
        <v>43</v>
      </c>
      <c r="H207">
        <v>221</v>
      </c>
      <c r="I207">
        <v>220</v>
      </c>
      <c r="J207">
        <v>2334</v>
      </c>
      <c r="K207">
        <v>0.50113378684807253</v>
      </c>
      <c r="L207">
        <v>8.6497064579256294E-2</v>
      </c>
      <c r="M207">
        <v>0.1475300400534045</v>
      </c>
    </row>
    <row r="208" spans="1:13" x14ac:dyDescent="0.35">
      <c r="A208" t="s">
        <v>13</v>
      </c>
      <c r="B208" t="s">
        <v>87</v>
      </c>
      <c r="C208" t="s">
        <v>15</v>
      </c>
      <c r="D208" t="s">
        <v>20</v>
      </c>
      <c r="E208" t="s">
        <v>21</v>
      </c>
      <c r="F208">
        <v>32</v>
      </c>
      <c r="G208" t="s">
        <v>17</v>
      </c>
      <c r="H208">
        <v>2060</v>
      </c>
      <c r="I208">
        <v>252</v>
      </c>
      <c r="J208">
        <v>495</v>
      </c>
      <c r="K208">
        <v>0.89100346020761245</v>
      </c>
      <c r="L208">
        <v>0.80626223091976512</v>
      </c>
      <c r="M208">
        <v>0.84651736182453263</v>
      </c>
    </row>
    <row r="209" spans="1:13" x14ac:dyDescent="0.35">
      <c r="A209" t="s">
        <v>13</v>
      </c>
      <c r="B209" t="s">
        <v>87</v>
      </c>
      <c r="C209" t="s">
        <v>15</v>
      </c>
      <c r="D209" t="s">
        <v>22</v>
      </c>
      <c r="E209" t="s">
        <v>23</v>
      </c>
      <c r="F209">
        <v>32</v>
      </c>
      <c r="G209" t="s">
        <v>17</v>
      </c>
      <c r="H209">
        <v>2152</v>
      </c>
      <c r="I209">
        <v>300</v>
      </c>
      <c r="J209">
        <v>403</v>
      </c>
      <c r="K209">
        <v>0.87765089722675371</v>
      </c>
      <c r="L209">
        <v>0.84227005870841487</v>
      </c>
      <c r="M209">
        <v>0.85959656480926716</v>
      </c>
    </row>
    <row r="210" spans="1:13" x14ac:dyDescent="0.35">
      <c r="A210" t="s">
        <v>13</v>
      </c>
      <c r="B210" t="s">
        <v>88</v>
      </c>
      <c r="C210" t="s">
        <v>15</v>
      </c>
      <c r="D210" t="s">
        <v>16</v>
      </c>
      <c r="F210">
        <v>32</v>
      </c>
      <c r="G210" t="s">
        <v>17</v>
      </c>
      <c r="H210">
        <v>2458</v>
      </c>
      <c r="I210">
        <v>1150</v>
      </c>
      <c r="J210">
        <v>8</v>
      </c>
      <c r="K210">
        <v>0.6812638580931264</v>
      </c>
      <c r="L210">
        <v>0.99675587996755877</v>
      </c>
      <c r="M210">
        <v>0.80935133355284816</v>
      </c>
    </row>
    <row r="211" spans="1:13" x14ac:dyDescent="0.35">
      <c r="A211" t="s">
        <v>13</v>
      </c>
      <c r="B211" t="s">
        <v>88</v>
      </c>
      <c r="C211" t="s">
        <v>15</v>
      </c>
      <c r="D211" t="s">
        <v>18</v>
      </c>
      <c r="F211">
        <v>32</v>
      </c>
      <c r="G211" t="s">
        <v>43</v>
      </c>
      <c r="H211">
        <v>140</v>
      </c>
      <c r="I211">
        <v>160</v>
      </c>
      <c r="J211">
        <v>2326</v>
      </c>
      <c r="K211">
        <v>0.46666666666666667</v>
      </c>
      <c r="L211">
        <v>5.6772100567721001E-2</v>
      </c>
      <c r="M211">
        <v>0.1012292118582791</v>
      </c>
    </row>
    <row r="212" spans="1:13" x14ac:dyDescent="0.35">
      <c r="A212" t="s">
        <v>13</v>
      </c>
      <c r="B212" t="s">
        <v>88</v>
      </c>
      <c r="C212" t="s">
        <v>15</v>
      </c>
      <c r="D212" t="s">
        <v>20</v>
      </c>
      <c r="E212" t="s">
        <v>21</v>
      </c>
      <c r="F212">
        <v>32</v>
      </c>
      <c r="G212" t="s">
        <v>29</v>
      </c>
      <c r="H212">
        <v>2244</v>
      </c>
      <c r="I212">
        <v>228</v>
      </c>
      <c r="J212">
        <v>222</v>
      </c>
      <c r="K212">
        <v>0.90776699029126218</v>
      </c>
      <c r="L212">
        <v>0.9099756690997568</v>
      </c>
      <c r="M212">
        <v>0.9088699878493316</v>
      </c>
    </row>
    <row r="213" spans="1:13" x14ac:dyDescent="0.35">
      <c r="A213" t="s">
        <v>13</v>
      </c>
      <c r="B213" t="s">
        <v>88</v>
      </c>
      <c r="C213" t="s">
        <v>15</v>
      </c>
      <c r="D213" t="s">
        <v>22</v>
      </c>
      <c r="E213" t="s">
        <v>23</v>
      </c>
      <c r="F213">
        <v>32</v>
      </c>
      <c r="G213" t="s">
        <v>17</v>
      </c>
      <c r="H213">
        <v>2305</v>
      </c>
      <c r="I213">
        <v>272</v>
      </c>
      <c r="J213">
        <v>161</v>
      </c>
      <c r="K213">
        <v>0.89445091191307724</v>
      </c>
      <c r="L213">
        <v>0.93471208434712083</v>
      </c>
      <c r="M213">
        <v>0.91413840967677962</v>
      </c>
    </row>
    <row r="214" spans="1:13" x14ac:dyDescent="0.35">
      <c r="A214" t="s">
        <v>13</v>
      </c>
      <c r="B214" t="s">
        <v>89</v>
      </c>
      <c r="C214" t="s">
        <v>15</v>
      </c>
      <c r="D214" t="s">
        <v>16</v>
      </c>
      <c r="F214">
        <v>32</v>
      </c>
      <c r="G214" t="s">
        <v>29</v>
      </c>
      <c r="H214">
        <v>364</v>
      </c>
      <c r="I214">
        <v>2299</v>
      </c>
      <c r="J214">
        <v>3</v>
      </c>
      <c r="K214">
        <v>0.1366879459256477</v>
      </c>
      <c r="L214">
        <v>0.99182561307901917</v>
      </c>
      <c r="M214">
        <v>0.24026402640264019</v>
      </c>
    </row>
    <row r="215" spans="1:13" x14ac:dyDescent="0.35">
      <c r="A215" t="s">
        <v>13</v>
      </c>
      <c r="B215" t="s">
        <v>89</v>
      </c>
      <c r="C215" t="s">
        <v>15</v>
      </c>
      <c r="D215" t="s">
        <v>18</v>
      </c>
      <c r="F215">
        <v>32</v>
      </c>
      <c r="G215" t="s">
        <v>17</v>
      </c>
      <c r="H215">
        <v>269</v>
      </c>
      <c r="I215">
        <v>765</v>
      </c>
      <c r="J215">
        <v>98</v>
      </c>
      <c r="K215">
        <v>0.26015473887814311</v>
      </c>
      <c r="L215">
        <v>0.73297002724795646</v>
      </c>
      <c r="M215">
        <v>0.38401142041399</v>
      </c>
    </row>
    <row r="216" spans="1:13" x14ac:dyDescent="0.35">
      <c r="A216" t="s">
        <v>13</v>
      </c>
      <c r="B216" t="s">
        <v>89</v>
      </c>
      <c r="C216" t="s">
        <v>15</v>
      </c>
      <c r="D216" t="s">
        <v>20</v>
      </c>
      <c r="E216" t="s">
        <v>21</v>
      </c>
      <c r="F216">
        <v>32</v>
      </c>
      <c r="G216" t="s">
        <v>17</v>
      </c>
      <c r="H216">
        <v>288</v>
      </c>
      <c r="I216">
        <v>715</v>
      </c>
      <c r="J216">
        <v>79</v>
      </c>
      <c r="K216">
        <v>0.28713858424725819</v>
      </c>
      <c r="L216">
        <v>0.78474114441416898</v>
      </c>
      <c r="M216">
        <v>0.42043795620437951</v>
      </c>
    </row>
    <row r="217" spans="1:13" x14ac:dyDescent="0.35">
      <c r="A217" t="s">
        <v>13</v>
      </c>
      <c r="B217" t="s">
        <v>89</v>
      </c>
      <c r="C217" t="s">
        <v>15</v>
      </c>
      <c r="D217" t="s">
        <v>22</v>
      </c>
      <c r="E217" t="s">
        <v>23</v>
      </c>
      <c r="F217">
        <v>32</v>
      </c>
      <c r="G217" t="s">
        <v>17</v>
      </c>
      <c r="H217">
        <v>289</v>
      </c>
      <c r="I217">
        <v>731</v>
      </c>
      <c r="J217">
        <v>78</v>
      </c>
      <c r="K217">
        <v>0.28333333333333333</v>
      </c>
      <c r="L217">
        <v>0.78746594005449588</v>
      </c>
      <c r="M217">
        <v>0.41672674837779378</v>
      </c>
    </row>
    <row r="218" spans="1:13" x14ac:dyDescent="0.35">
      <c r="A218" t="s">
        <v>13</v>
      </c>
      <c r="B218" t="s">
        <v>90</v>
      </c>
      <c r="C218" t="s">
        <v>15</v>
      </c>
      <c r="D218" t="s">
        <v>16</v>
      </c>
      <c r="F218">
        <v>32</v>
      </c>
      <c r="G218" t="s">
        <v>17</v>
      </c>
      <c r="H218">
        <v>807</v>
      </c>
      <c r="I218">
        <v>1735</v>
      </c>
      <c r="J218">
        <v>2</v>
      </c>
      <c r="K218">
        <v>0.3174665617623918</v>
      </c>
      <c r="L218">
        <v>0.99752781211372077</v>
      </c>
      <c r="M218">
        <v>0.48164726947179942</v>
      </c>
    </row>
    <row r="219" spans="1:13" x14ac:dyDescent="0.35">
      <c r="A219" t="s">
        <v>13</v>
      </c>
      <c r="B219" t="s">
        <v>90</v>
      </c>
      <c r="C219" t="s">
        <v>15</v>
      </c>
      <c r="D219" t="s">
        <v>18</v>
      </c>
      <c r="F219">
        <v>32</v>
      </c>
      <c r="G219" t="s">
        <v>17</v>
      </c>
      <c r="H219">
        <v>686</v>
      </c>
      <c r="I219">
        <v>785</v>
      </c>
      <c r="J219">
        <v>123</v>
      </c>
      <c r="K219">
        <v>0.4663494221617947</v>
      </c>
      <c r="L219">
        <v>0.84796044499381951</v>
      </c>
      <c r="M219">
        <v>0.60175438596491226</v>
      </c>
    </row>
    <row r="220" spans="1:13" x14ac:dyDescent="0.35">
      <c r="A220" t="s">
        <v>13</v>
      </c>
      <c r="B220" t="s">
        <v>90</v>
      </c>
      <c r="C220" t="s">
        <v>15</v>
      </c>
      <c r="D220" t="s">
        <v>20</v>
      </c>
      <c r="E220" t="s">
        <v>21</v>
      </c>
      <c r="F220">
        <v>32</v>
      </c>
      <c r="G220" t="s">
        <v>17</v>
      </c>
      <c r="H220">
        <v>741</v>
      </c>
      <c r="I220">
        <v>878</v>
      </c>
      <c r="J220">
        <v>68</v>
      </c>
      <c r="K220">
        <v>0.45768993205682518</v>
      </c>
      <c r="L220">
        <v>0.91594561186650181</v>
      </c>
      <c r="M220">
        <v>0.61037891268533773</v>
      </c>
    </row>
    <row r="221" spans="1:13" x14ac:dyDescent="0.35">
      <c r="A221" t="s">
        <v>13</v>
      </c>
      <c r="B221" t="s">
        <v>90</v>
      </c>
      <c r="C221" t="s">
        <v>15</v>
      </c>
      <c r="D221" t="s">
        <v>22</v>
      </c>
      <c r="E221" t="s">
        <v>23</v>
      </c>
      <c r="F221">
        <v>32</v>
      </c>
      <c r="G221" t="s">
        <v>17</v>
      </c>
      <c r="H221">
        <v>749</v>
      </c>
      <c r="I221">
        <v>912</v>
      </c>
      <c r="J221">
        <v>60</v>
      </c>
      <c r="K221">
        <v>0.45093317278747741</v>
      </c>
      <c r="L221">
        <v>0.92583436341161918</v>
      </c>
      <c r="M221">
        <v>0.60647773279352224</v>
      </c>
    </row>
    <row r="222" spans="1:13" x14ac:dyDescent="0.35">
      <c r="A222" t="s">
        <v>13</v>
      </c>
      <c r="B222" t="s">
        <v>91</v>
      </c>
      <c r="C222" t="s">
        <v>15</v>
      </c>
      <c r="D222" t="s">
        <v>16</v>
      </c>
      <c r="F222">
        <v>32</v>
      </c>
      <c r="G222" t="s">
        <v>29</v>
      </c>
      <c r="H222">
        <v>4604</v>
      </c>
      <c r="I222">
        <v>1331</v>
      </c>
      <c r="J222">
        <v>44</v>
      </c>
      <c r="K222">
        <v>0.77573715248525699</v>
      </c>
      <c r="L222">
        <v>0.99053356282271943</v>
      </c>
      <c r="M222">
        <v>0.87007464802041001</v>
      </c>
    </row>
    <row r="223" spans="1:13" x14ac:dyDescent="0.35">
      <c r="A223" t="s">
        <v>13</v>
      </c>
      <c r="B223" t="s">
        <v>91</v>
      </c>
      <c r="C223" t="s">
        <v>15</v>
      </c>
      <c r="D223" t="s">
        <v>18</v>
      </c>
      <c r="F223">
        <v>32</v>
      </c>
      <c r="G223" t="s">
        <v>78</v>
      </c>
      <c r="H223">
        <v>1952</v>
      </c>
      <c r="I223">
        <v>1203</v>
      </c>
      <c r="J223">
        <v>2696</v>
      </c>
      <c r="K223">
        <v>0.61870047543581619</v>
      </c>
      <c r="L223">
        <v>0.41996557659208261</v>
      </c>
      <c r="M223">
        <v>0.50032038959374603</v>
      </c>
    </row>
    <row r="224" spans="1:13" x14ac:dyDescent="0.35">
      <c r="A224" t="s">
        <v>13</v>
      </c>
      <c r="B224" t="s">
        <v>91</v>
      </c>
      <c r="C224" t="s">
        <v>15</v>
      </c>
      <c r="D224" t="s">
        <v>20</v>
      </c>
      <c r="E224" t="s">
        <v>21</v>
      </c>
      <c r="F224">
        <v>32</v>
      </c>
      <c r="G224" t="s">
        <v>29</v>
      </c>
      <c r="H224">
        <v>3727</v>
      </c>
      <c r="I224">
        <v>491</v>
      </c>
      <c r="J224">
        <v>921</v>
      </c>
      <c r="K224">
        <v>0.88359412043622565</v>
      </c>
      <c r="L224">
        <v>0.80185025817555933</v>
      </c>
      <c r="M224">
        <v>0.84073990525603415</v>
      </c>
    </row>
    <row r="225" spans="1:13" x14ac:dyDescent="0.35">
      <c r="A225" t="s">
        <v>13</v>
      </c>
      <c r="B225" t="s">
        <v>91</v>
      </c>
      <c r="C225" t="s">
        <v>15</v>
      </c>
      <c r="D225" t="s">
        <v>22</v>
      </c>
      <c r="E225" t="s">
        <v>23</v>
      </c>
      <c r="F225">
        <v>32</v>
      </c>
      <c r="G225" t="s">
        <v>17</v>
      </c>
      <c r="H225">
        <v>4001</v>
      </c>
      <c r="I225">
        <v>575</v>
      </c>
      <c r="J225">
        <v>647</v>
      </c>
      <c r="K225">
        <v>0.87434440559440563</v>
      </c>
      <c r="L225">
        <v>0.86080034423407914</v>
      </c>
      <c r="M225">
        <v>0.86751951431049446</v>
      </c>
    </row>
    <row r="226" spans="1:13" x14ac:dyDescent="0.35">
      <c r="A226" t="s">
        <v>13</v>
      </c>
      <c r="B226" t="s">
        <v>92</v>
      </c>
      <c r="C226" t="s">
        <v>15</v>
      </c>
      <c r="D226" t="s">
        <v>16</v>
      </c>
      <c r="F226">
        <v>32</v>
      </c>
      <c r="G226" t="s">
        <v>17</v>
      </c>
      <c r="H226">
        <v>2676</v>
      </c>
      <c r="I226">
        <v>1083</v>
      </c>
      <c r="J226">
        <v>7</v>
      </c>
      <c r="K226">
        <v>0.71189146049481244</v>
      </c>
      <c r="L226">
        <v>0.99739098024599315</v>
      </c>
      <c r="M226">
        <v>0.8307978888543931</v>
      </c>
    </row>
    <row r="227" spans="1:13" x14ac:dyDescent="0.35">
      <c r="A227" t="s">
        <v>13</v>
      </c>
      <c r="B227" t="s">
        <v>92</v>
      </c>
      <c r="C227" t="s">
        <v>15</v>
      </c>
      <c r="D227" t="s">
        <v>18</v>
      </c>
      <c r="F227">
        <v>32</v>
      </c>
      <c r="G227" t="s">
        <v>17</v>
      </c>
      <c r="H227">
        <v>205</v>
      </c>
      <c r="I227">
        <v>365</v>
      </c>
      <c r="J227">
        <v>2478</v>
      </c>
      <c r="K227">
        <v>0.3596491228070175</v>
      </c>
      <c r="L227">
        <v>7.6407007081624997E-2</v>
      </c>
      <c r="M227">
        <v>0.12603750384260681</v>
      </c>
    </row>
    <row r="228" spans="1:13" x14ac:dyDescent="0.35">
      <c r="A228" t="s">
        <v>13</v>
      </c>
      <c r="B228" t="s">
        <v>92</v>
      </c>
      <c r="C228" t="s">
        <v>15</v>
      </c>
      <c r="D228" t="s">
        <v>20</v>
      </c>
      <c r="E228" t="s">
        <v>21</v>
      </c>
      <c r="F228">
        <v>32</v>
      </c>
      <c r="G228" t="s">
        <v>17</v>
      </c>
      <c r="H228">
        <v>2482</v>
      </c>
      <c r="I228">
        <v>559</v>
      </c>
      <c r="J228">
        <v>201</v>
      </c>
      <c r="K228">
        <v>0.81617888852351195</v>
      </c>
      <c r="L228">
        <v>0.92508386134923604</v>
      </c>
      <c r="M228">
        <v>0.86722571628232004</v>
      </c>
    </row>
    <row r="229" spans="1:13" x14ac:dyDescent="0.35">
      <c r="A229" t="s">
        <v>13</v>
      </c>
      <c r="B229" t="s">
        <v>92</v>
      </c>
      <c r="C229" t="s">
        <v>15</v>
      </c>
      <c r="D229" t="s">
        <v>22</v>
      </c>
      <c r="E229" t="s">
        <v>23</v>
      </c>
      <c r="F229">
        <v>32</v>
      </c>
      <c r="G229" t="s">
        <v>17</v>
      </c>
      <c r="H229">
        <v>2538</v>
      </c>
      <c r="I229">
        <v>629</v>
      </c>
      <c r="J229">
        <v>145</v>
      </c>
      <c r="K229">
        <v>0.80138932743921687</v>
      </c>
      <c r="L229">
        <v>0.94595601938128959</v>
      </c>
      <c r="M229">
        <v>0.86769230769230754</v>
      </c>
    </row>
    <row r="230" spans="1:13" x14ac:dyDescent="0.35">
      <c r="A230" t="s">
        <v>13</v>
      </c>
      <c r="B230" t="s">
        <v>93</v>
      </c>
      <c r="C230" t="s">
        <v>15</v>
      </c>
      <c r="D230" t="s">
        <v>16</v>
      </c>
      <c r="F230">
        <v>32</v>
      </c>
      <c r="G230" t="s">
        <v>29</v>
      </c>
      <c r="H230">
        <v>2522</v>
      </c>
      <c r="I230">
        <v>26</v>
      </c>
      <c r="J230">
        <v>3</v>
      </c>
      <c r="K230">
        <v>0.98979591836734682</v>
      </c>
      <c r="L230">
        <v>0.99881188118811881</v>
      </c>
      <c r="M230">
        <v>0.99428346146264523</v>
      </c>
    </row>
    <row r="231" spans="1:13" x14ac:dyDescent="0.35">
      <c r="A231" t="s">
        <v>13</v>
      </c>
      <c r="B231" t="s">
        <v>93</v>
      </c>
      <c r="C231" t="s">
        <v>15</v>
      </c>
      <c r="D231" t="s">
        <v>18</v>
      </c>
      <c r="F231">
        <v>32</v>
      </c>
      <c r="G231" t="s">
        <v>17</v>
      </c>
      <c r="H231">
        <v>2475</v>
      </c>
      <c r="I231">
        <v>26</v>
      </c>
      <c r="J231">
        <v>50</v>
      </c>
      <c r="K231">
        <v>0.98960415833666537</v>
      </c>
      <c r="L231">
        <v>0.98019801980198018</v>
      </c>
      <c r="M231">
        <v>0.98487863111818541</v>
      </c>
    </row>
    <row r="232" spans="1:13" x14ac:dyDescent="0.35">
      <c r="A232" t="s">
        <v>13</v>
      </c>
      <c r="B232" t="s">
        <v>93</v>
      </c>
      <c r="C232" t="s">
        <v>15</v>
      </c>
      <c r="D232" t="s">
        <v>20</v>
      </c>
      <c r="E232" t="s">
        <v>21</v>
      </c>
      <c r="F232">
        <v>32</v>
      </c>
      <c r="G232" t="s">
        <v>17</v>
      </c>
      <c r="H232">
        <v>2486</v>
      </c>
      <c r="I232">
        <v>2</v>
      </c>
      <c r="J232">
        <v>39</v>
      </c>
      <c r="K232">
        <v>0.99919614147909963</v>
      </c>
      <c r="L232">
        <v>0.98455445544554443</v>
      </c>
      <c r="M232">
        <v>0.99182126471174958</v>
      </c>
    </row>
    <row r="233" spans="1:13" x14ac:dyDescent="0.35">
      <c r="A233" t="s">
        <v>13</v>
      </c>
      <c r="B233" t="s">
        <v>93</v>
      </c>
      <c r="C233" t="s">
        <v>15</v>
      </c>
      <c r="D233" t="s">
        <v>22</v>
      </c>
      <c r="E233" t="s">
        <v>23</v>
      </c>
      <c r="F233">
        <v>32</v>
      </c>
      <c r="G233" t="s">
        <v>17</v>
      </c>
      <c r="H233">
        <v>2493</v>
      </c>
      <c r="I233">
        <v>4</v>
      </c>
      <c r="J233">
        <v>32</v>
      </c>
      <c r="K233">
        <v>0.99839807769323197</v>
      </c>
      <c r="L233">
        <v>0.9873267326732672</v>
      </c>
      <c r="M233">
        <v>0.99283154121863804</v>
      </c>
    </row>
    <row r="234" spans="1:13" x14ac:dyDescent="0.35">
      <c r="A234" t="s">
        <v>94</v>
      </c>
      <c r="B234" t="s">
        <v>95</v>
      </c>
      <c r="C234" t="s">
        <v>15</v>
      </c>
      <c r="D234" t="s">
        <v>16</v>
      </c>
      <c r="F234">
        <v>32</v>
      </c>
      <c r="G234" t="s">
        <v>96</v>
      </c>
      <c r="H234">
        <v>470</v>
      </c>
      <c r="I234">
        <v>76</v>
      </c>
      <c r="J234">
        <v>19</v>
      </c>
      <c r="K234">
        <v>0.86080586080586086</v>
      </c>
      <c r="L234">
        <v>0.96114519427402878</v>
      </c>
      <c r="M234">
        <v>0.90821256038647358</v>
      </c>
    </row>
    <row r="235" spans="1:13" x14ac:dyDescent="0.35">
      <c r="A235" t="s">
        <v>94</v>
      </c>
      <c r="B235" t="s">
        <v>95</v>
      </c>
      <c r="C235" t="s">
        <v>15</v>
      </c>
      <c r="D235" t="s">
        <v>18</v>
      </c>
      <c r="F235">
        <v>32</v>
      </c>
      <c r="G235" t="s">
        <v>97</v>
      </c>
      <c r="H235">
        <v>468</v>
      </c>
      <c r="I235">
        <v>13</v>
      </c>
      <c r="J235">
        <v>21</v>
      </c>
      <c r="K235">
        <v>0.97297297297297303</v>
      </c>
      <c r="L235">
        <v>0.95705521472392641</v>
      </c>
      <c r="M235">
        <v>0.96494845360824744</v>
      </c>
    </row>
    <row r="236" spans="1:13" x14ac:dyDescent="0.35">
      <c r="A236" t="s">
        <v>94</v>
      </c>
      <c r="B236" t="s">
        <v>95</v>
      </c>
      <c r="C236" t="s">
        <v>15</v>
      </c>
      <c r="D236" t="s">
        <v>20</v>
      </c>
      <c r="E236" t="s">
        <v>21</v>
      </c>
      <c r="F236">
        <v>32</v>
      </c>
      <c r="G236" t="s">
        <v>98</v>
      </c>
      <c r="H236">
        <v>468</v>
      </c>
      <c r="I236">
        <v>22</v>
      </c>
      <c r="J236">
        <v>21</v>
      </c>
      <c r="K236">
        <v>0.95510204081632644</v>
      </c>
      <c r="L236">
        <v>0.95705521472392641</v>
      </c>
      <c r="M236">
        <v>0.95607763023493364</v>
      </c>
    </row>
    <row r="237" spans="1:13" x14ac:dyDescent="0.35">
      <c r="A237" t="s">
        <v>94</v>
      </c>
      <c r="B237" t="s">
        <v>95</v>
      </c>
      <c r="C237" t="s">
        <v>15</v>
      </c>
      <c r="D237" t="s">
        <v>22</v>
      </c>
      <c r="E237" t="s">
        <v>23</v>
      </c>
      <c r="F237">
        <v>32</v>
      </c>
      <c r="G237" t="s">
        <v>97</v>
      </c>
      <c r="H237">
        <v>469</v>
      </c>
      <c r="I237">
        <v>25</v>
      </c>
      <c r="J237">
        <v>20</v>
      </c>
      <c r="K237">
        <v>0.9493927125506072</v>
      </c>
      <c r="L237">
        <v>0.95910020449897759</v>
      </c>
      <c r="M237">
        <v>0.9542217700915564</v>
      </c>
    </row>
    <row r="238" spans="1:13" x14ac:dyDescent="0.35">
      <c r="A238" t="s">
        <v>94</v>
      </c>
      <c r="B238" t="s">
        <v>99</v>
      </c>
      <c r="C238" t="s">
        <v>15</v>
      </c>
      <c r="D238" t="s">
        <v>16</v>
      </c>
      <c r="F238">
        <v>32</v>
      </c>
      <c r="G238" t="s">
        <v>100</v>
      </c>
      <c r="H238">
        <v>127</v>
      </c>
      <c r="I238">
        <v>423</v>
      </c>
      <c r="J238">
        <v>5</v>
      </c>
      <c r="K238">
        <v>0.2309090909090909</v>
      </c>
      <c r="L238">
        <v>0.96212121212121215</v>
      </c>
      <c r="M238">
        <v>0.37243401759530792</v>
      </c>
    </row>
    <row r="239" spans="1:13" x14ac:dyDescent="0.35">
      <c r="A239" t="s">
        <v>94</v>
      </c>
      <c r="B239" t="s">
        <v>99</v>
      </c>
      <c r="C239" t="s">
        <v>15</v>
      </c>
      <c r="D239" t="s">
        <v>18</v>
      </c>
      <c r="F239">
        <v>32</v>
      </c>
      <c r="G239" t="s">
        <v>101</v>
      </c>
      <c r="H239">
        <v>0</v>
      </c>
      <c r="I239">
        <v>2</v>
      </c>
      <c r="J239">
        <v>132</v>
      </c>
      <c r="K239">
        <v>0</v>
      </c>
      <c r="L239">
        <v>0</v>
      </c>
      <c r="M239">
        <v>0</v>
      </c>
    </row>
    <row r="240" spans="1:13" x14ac:dyDescent="0.35">
      <c r="A240" t="s">
        <v>94</v>
      </c>
      <c r="B240" t="s">
        <v>99</v>
      </c>
      <c r="C240" t="s">
        <v>15</v>
      </c>
      <c r="D240" t="s">
        <v>20</v>
      </c>
      <c r="E240" t="s">
        <v>21</v>
      </c>
      <c r="F240">
        <v>32</v>
      </c>
      <c r="G240" t="s">
        <v>100</v>
      </c>
      <c r="H240">
        <v>123</v>
      </c>
      <c r="I240">
        <v>141</v>
      </c>
      <c r="J240">
        <v>9</v>
      </c>
      <c r="K240">
        <v>0.46590909090909088</v>
      </c>
      <c r="L240">
        <v>0.93181818181818177</v>
      </c>
      <c r="M240">
        <v>0.6212121212121211</v>
      </c>
    </row>
    <row r="241" spans="1:13" x14ac:dyDescent="0.35">
      <c r="A241" t="s">
        <v>94</v>
      </c>
      <c r="B241" t="s">
        <v>99</v>
      </c>
      <c r="C241" t="s">
        <v>15</v>
      </c>
      <c r="D241" t="s">
        <v>22</v>
      </c>
      <c r="E241" t="s">
        <v>23</v>
      </c>
      <c r="F241">
        <v>32</v>
      </c>
      <c r="G241" t="s">
        <v>100</v>
      </c>
      <c r="H241">
        <v>123</v>
      </c>
      <c r="I241">
        <v>142</v>
      </c>
      <c r="J241">
        <v>9</v>
      </c>
      <c r="K241">
        <v>0.46415094339622642</v>
      </c>
      <c r="L241">
        <v>0.93181818181818177</v>
      </c>
      <c r="M241">
        <v>0.61964735516372793</v>
      </c>
    </row>
    <row r="242" spans="1:13" x14ac:dyDescent="0.35">
      <c r="A242" t="s">
        <v>94</v>
      </c>
      <c r="B242" t="s">
        <v>102</v>
      </c>
      <c r="C242" t="s">
        <v>15</v>
      </c>
      <c r="D242" t="s">
        <v>16</v>
      </c>
      <c r="F242">
        <v>32</v>
      </c>
      <c r="G242" t="s">
        <v>97</v>
      </c>
      <c r="H242">
        <v>236</v>
      </c>
      <c r="I242">
        <v>318</v>
      </c>
      <c r="J242">
        <v>9</v>
      </c>
      <c r="K242">
        <v>0.4259927797833935</v>
      </c>
      <c r="L242">
        <v>0.96326530612244898</v>
      </c>
      <c r="M242">
        <v>0.59073842302878599</v>
      </c>
    </row>
    <row r="243" spans="1:13" x14ac:dyDescent="0.35">
      <c r="A243" t="s">
        <v>94</v>
      </c>
      <c r="B243" t="s">
        <v>102</v>
      </c>
      <c r="C243" t="s">
        <v>15</v>
      </c>
      <c r="D243" t="s">
        <v>18</v>
      </c>
      <c r="F243">
        <v>32</v>
      </c>
      <c r="G243" t="s">
        <v>103</v>
      </c>
      <c r="H243">
        <v>6</v>
      </c>
      <c r="I243">
        <v>36</v>
      </c>
      <c r="J243">
        <v>239</v>
      </c>
      <c r="K243">
        <v>0.14285714285714279</v>
      </c>
      <c r="L243">
        <v>2.4489795918367301E-2</v>
      </c>
      <c r="M243">
        <v>4.1811846689895397E-2</v>
      </c>
    </row>
    <row r="244" spans="1:13" x14ac:dyDescent="0.35">
      <c r="A244" t="s">
        <v>94</v>
      </c>
      <c r="B244" t="s">
        <v>102</v>
      </c>
      <c r="C244" t="s">
        <v>15</v>
      </c>
      <c r="D244" t="s">
        <v>20</v>
      </c>
      <c r="E244" t="s">
        <v>21</v>
      </c>
      <c r="F244">
        <v>32</v>
      </c>
      <c r="G244" t="s">
        <v>97</v>
      </c>
      <c r="H244">
        <v>220</v>
      </c>
      <c r="I244">
        <v>60</v>
      </c>
      <c r="J244">
        <v>25</v>
      </c>
      <c r="K244">
        <v>0.7857142857142857</v>
      </c>
      <c r="L244">
        <v>0.89795918367346939</v>
      </c>
      <c r="M244">
        <v>0.838095238095238</v>
      </c>
    </row>
    <row r="245" spans="1:13" x14ac:dyDescent="0.35">
      <c r="A245" t="s">
        <v>94</v>
      </c>
      <c r="B245" t="s">
        <v>102</v>
      </c>
      <c r="C245" t="s">
        <v>15</v>
      </c>
      <c r="D245" t="s">
        <v>22</v>
      </c>
      <c r="E245" t="s">
        <v>23</v>
      </c>
      <c r="F245">
        <v>32</v>
      </c>
      <c r="G245" t="s">
        <v>98</v>
      </c>
      <c r="H245">
        <v>225</v>
      </c>
      <c r="I245">
        <v>67</v>
      </c>
      <c r="J245">
        <v>20</v>
      </c>
      <c r="K245">
        <v>0.77054794520547942</v>
      </c>
      <c r="L245">
        <v>0.91836734693877564</v>
      </c>
      <c r="M245">
        <v>0.83798882681564246</v>
      </c>
    </row>
    <row r="246" spans="1:13" x14ac:dyDescent="0.35">
      <c r="A246" t="s">
        <v>94</v>
      </c>
      <c r="B246" t="s">
        <v>104</v>
      </c>
      <c r="C246" t="s">
        <v>15</v>
      </c>
      <c r="D246" t="s">
        <v>16</v>
      </c>
      <c r="F246">
        <v>32</v>
      </c>
      <c r="G246" t="s">
        <v>98</v>
      </c>
      <c r="H246">
        <v>497</v>
      </c>
      <c r="I246">
        <v>140</v>
      </c>
      <c r="J246">
        <v>11</v>
      </c>
      <c r="K246">
        <v>0.78021978021978022</v>
      </c>
      <c r="L246">
        <v>0.97834645669291342</v>
      </c>
      <c r="M246">
        <v>0.86812227074235815</v>
      </c>
    </row>
    <row r="247" spans="1:13" x14ac:dyDescent="0.35">
      <c r="A247" t="s">
        <v>94</v>
      </c>
      <c r="B247" t="s">
        <v>104</v>
      </c>
      <c r="C247" t="s">
        <v>15</v>
      </c>
      <c r="D247" t="s">
        <v>18</v>
      </c>
      <c r="F247">
        <v>32</v>
      </c>
      <c r="G247" t="s">
        <v>98</v>
      </c>
      <c r="H247">
        <v>450</v>
      </c>
      <c r="I247">
        <v>133</v>
      </c>
      <c r="J247">
        <v>58</v>
      </c>
      <c r="K247">
        <v>0.77186963979416812</v>
      </c>
      <c r="L247">
        <v>0.88582677165354329</v>
      </c>
      <c r="M247">
        <v>0.82493125572868919</v>
      </c>
    </row>
    <row r="248" spans="1:13" x14ac:dyDescent="0.35">
      <c r="A248" t="s">
        <v>94</v>
      </c>
      <c r="B248" t="s">
        <v>104</v>
      </c>
      <c r="C248" t="s">
        <v>15</v>
      </c>
      <c r="D248" t="s">
        <v>20</v>
      </c>
      <c r="E248" t="s">
        <v>21</v>
      </c>
      <c r="F248">
        <v>32</v>
      </c>
      <c r="G248" t="s">
        <v>97</v>
      </c>
      <c r="H248">
        <v>442</v>
      </c>
      <c r="I248">
        <v>100</v>
      </c>
      <c r="J248">
        <v>66</v>
      </c>
      <c r="K248">
        <v>0.81549815498154976</v>
      </c>
      <c r="L248">
        <v>0.87007874015748032</v>
      </c>
      <c r="M248">
        <v>0.84190476190476182</v>
      </c>
    </row>
    <row r="249" spans="1:13" x14ac:dyDescent="0.35">
      <c r="A249" t="s">
        <v>94</v>
      </c>
      <c r="B249" t="s">
        <v>104</v>
      </c>
      <c r="C249" t="s">
        <v>15</v>
      </c>
      <c r="D249" t="s">
        <v>22</v>
      </c>
      <c r="E249" t="s">
        <v>23</v>
      </c>
      <c r="F249">
        <v>32</v>
      </c>
      <c r="G249" t="s">
        <v>97</v>
      </c>
      <c r="H249">
        <v>458</v>
      </c>
      <c r="I249">
        <v>107</v>
      </c>
      <c r="J249">
        <v>50</v>
      </c>
      <c r="K249">
        <v>0.81061946902654869</v>
      </c>
      <c r="L249">
        <v>0.90157480314960636</v>
      </c>
      <c r="M249">
        <v>0.85368126747437101</v>
      </c>
    </row>
    <row r="250" spans="1:13" x14ac:dyDescent="0.35">
      <c r="A250" t="s">
        <v>94</v>
      </c>
      <c r="B250" t="s">
        <v>105</v>
      </c>
      <c r="C250" t="s">
        <v>15</v>
      </c>
      <c r="D250" t="s">
        <v>16</v>
      </c>
      <c r="F250">
        <v>32</v>
      </c>
      <c r="G250" t="s">
        <v>106</v>
      </c>
      <c r="H250">
        <v>306</v>
      </c>
      <c r="I250">
        <v>275</v>
      </c>
      <c r="J250">
        <v>19</v>
      </c>
      <c r="K250">
        <v>0.52667814113597244</v>
      </c>
      <c r="L250">
        <v>0.94153846153846155</v>
      </c>
      <c r="M250">
        <v>0.67549668874172186</v>
      </c>
    </row>
    <row r="251" spans="1:13" x14ac:dyDescent="0.35">
      <c r="A251" t="s">
        <v>94</v>
      </c>
      <c r="B251" t="s">
        <v>105</v>
      </c>
      <c r="C251" t="s">
        <v>15</v>
      </c>
      <c r="D251" t="s">
        <v>18</v>
      </c>
      <c r="F251">
        <v>32</v>
      </c>
      <c r="G251" t="s">
        <v>96</v>
      </c>
      <c r="H251">
        <v>218</v>
      </c>
      <c r="I251">
        <v>4</v>
      </c>
      <c r="J251">
        <v>107</v>
      </c>
      <c r="K251">
        <v>0.98198198198198205</v>
      </c>
      <c r="L251">
        <v>0.67076923076923078</v>
      </c>
      <c r="M251">
        <v>0.79707495429616082</v>
      </c>
    </row>
    <row r="252" spans="1:13" x14ac:dyDescent="0.35">
      <c r="A252" t="s">
        <v>94</v>
      </c>
      <c r="B252" t="s">
        <v>105</v>
      </c>
      <c r="C252" t="s">
        <v>15</v>
      </c>
      <c r="D252" t="s">
        <v>20</v>
      </c>
      <c r="E252" t="s">
        <v>21</v>
      </c>
      <c r="F252">
        <v>32</v>
      </c>
      <c r="G252" t="s">
        <v>97</v>
      </c>
      <c r="H252">
        <v>312</v>
      </c>
      <c r="I252">
        <v>29</v>
      </c>
      <c r="J252">
        <v>13</v>
      </c>
      <c r="K252">
        <v>0.91495601173020524</v>
      </c>
      <c r="L252">
        <v>0.96</v>
      </c>
      <c r="M252">
        <v>0.9369369369369368</v>
      </c>
    </row>
    <row r="253" spans="1:13" x14ac:dyDescent="0.35">
      <c r="A253" t="s">
        <v>94</v>
      </c>
      <c r="B253" t="s">
        <v>105</v>
      </c>
      <c r="C253" t="s">
        <v>15</v>
      </c>
      <c r="D253" t="s">
        <v>22</v>
      </c>
      <c r="E253" t="s">
        <v>23</v>
      </c>
      <c r="F253">
        <v>32</v>
      </c>
      <c r="G253" t="s">
        <v>97</v>
      </c>
      <c r="H253">
        <v>312</v>
      </c>
      <c r="I253">
        <v>29</v>
      </c>
      <c r="J253">
        <v>13</v>
      </c>
      <c r="K253">
        <v>0.91495601173020524</v>
      </c>
      <c r="L253">
        <v>0.96</v>
      </c>
      <c r="M253">
        <v>0.9369369369369368</v>
      </c>
    </row>
    <row r="254" spans="1:13" x14ac:dyDescent="0.35">
      <c r="A254" t="s">
        <v>94</v>
      </c>
      <c r="B254" t="s">
        <v>107</v>
      </c>
      <c r="C254" t="s">
        <v>15</v>
      </c>
      <c r="D254" t="s">
        <v>16</v>
      </c>
      <c r="F254">
        <v>32</v>
      </c>
      <c r="G254" t="s">
        <v>108</v>
      </c>
      <c r="H254">
        <v>133</v>
      </c>
      <c r="I254">
        <v>272</v>
      </c>
      <c r="J254">
        <v>5</v>
      </c>
      <c r="K254">
        <v>0.328395061728395</v>
      </c>
      <c r="L254">
        <v>0.96376811594202882</v>
      </c>
      <c r="M254">
        <v>0.4898710865561694</v>
      </c>
    </row>
    <row r="255" spans="1:13" x14ac:dyDescent="0.35">
      <c r="A255" t="s">
        <v>94</v>
      </c>
      <c r="B255" t="s">
        <v>107</v>
      </c>
      <c r="C255" t="s">
        <v>15</v>
      </c>
      <c r="D255" t="s">
        <v>18</v>
      </c>
      <c r="F255">
        <v>32</v>
      </c>
      <c r="G255" t="s">
        <v>97</v>
      </c>
      <c r="H255">
        <v>133</v>
      </c>
      <c r="I255">
        <v>30</v>
      </c>
      <c r="J255">
        <v>5</v>
      </c>
      <c r="K255">
        <v>0.81595092024539873</v>
      </c>
      <c r="L255">
        <v>0.96376811594202882</v>
      </c>
      <c r="M255">
        <v>0.88372093023255793</v>
      </c>
    </row>
    <row r="256" spans="1:13" x14ac:dyDescent="0.35">
      <c r="A256" t="s">
        <v>94</v>
      </c>
      <c r="B256" t="s">
        <v>107</v>
      </c>
      <c r="C256" t="s">
        <v>15</v>
      </c>
      <c r="D256" t="s">
        <v>20</v>
      </c>
      <c r="E256" t="s">
        <v>21</v>
      </c>
      <c r="F256">
        <v>32</v>
      </c>
      <c r="G256" t="s">
        <v>98</v>
      </c>
      <c r="H256">
        <v>137</v>
      </c>
      <c r="I256">
        <v>31</v>
      </c>
      <c r="J256">
        <v>1</v>
      </c>
      <c r="K256">
        <v>0.81547619047619047</v>
      </c>
      <c r="L256">
        <v>0.99275362318840576</v>
      </c>
      <c r="M256">
        <v>0.89542483660130712</v>
      </c>
    </row>
    <row r="257" spans="1:13" x14ac:dyDescent="0.35">
      <c r="A257" t="s">
        <v>94</v>
      </c>
      <c r="B257" t="s">
        <v>107</v>
      </c>
      <c r="C257" t="s">
        <v>15</v>
      </c>
      <c r="D257" t="s">
        <v>22</v>
      </c>
      <c r="E257" t="s">
        <v>23</v>
      </c>
      <c r="F257">
        <v>32</v>
      </c>
      <c r="G257" t="s">
        <v>100</v>
      </c>
      <c r="H257">
        <v>125</v>
      </c>
      <c r="I257">
        <v>16</v>
      </c>
      <c r="J257">
        <v>13</v>
      </c>
      <c r="K257">
        <v>0.88652482269503541</v>
      </c>
      <c r="L257">
        <v>0.90579710144927539</v>
      </c>
      <c r="M257">
        <v>0.89605734767025091</v>
      </c>
    </row>
    <row r="258" spans="1:13" x14ac:dyDescent="0.35">
      <c r="A258" t="s">
        <v>94</v>
      </c>
      <c r="B258" t="s">
        <v>109</v>
      </c>
      <c r="C258" t="s">
        <v>15</v>
      </c>
      <c r="D258" t="s">
        <v>16</v>
      </c>
      <c r="F258">
        <v>32</v>
      </c>
      <c r="G258" t="s">
        <v>100</v>
      </c>
      <c r="H258">
        <v>169</v>
      </c>
      <c r="I258">
        <v>250</v>
      </c>
      <c r="J258">
        <v>6</v>
      </c>
      <c r="K258">
        <v>0.40334128878281622</v>
      </c>
      <c r="L258">
        <v>0.96571428571428564</v>
      </c>
      <c r="M258">
        <v>0.56902356902356899</v>
      </c>
    </row>
    <row r="259" spans="1:13" x14ac:dyDescent="0.35">
      <c r="A259" t="s">
        <v>94</v>
      </c>
      <c r="B259" t="s">
        <v>109</v>
      </c>
      <c r="C259" t="s">
        <v>15</v>
      </c>
      <c r="D259" t="s">
        <v>18</v>
      </c>
      <c r="F259">
        <v>32</v>
      </c>
      <c r="G259" t="s">
        <v>98</v>
      </c>
      <c r="H259">
        <v>163</v>
      </c>
      <c r="I259">
        <v>32</v>
      </c>
      <c r="J259">
        <v>12</v>
      </c>
      <c r="K259">
        <v>0.83589743589743593</v>
      </c>
      <c r="L259">
        <v>0.93142857142857138</v>
      </c>
      <c r="M259">
        <v>0.88108108108108107</v>
      </c>
    </row>
    <row r="260" spans="1:13" x14ac:dyDescent="0.35">
      <c r="A260" t="s">
        <v>94</v>
      </c>
      <c r="B260" t="s">
        <v>109</v>
      </c>
      <c r="C260" t="s">
        <v>15</v>
      </c>
      <c r="D260" t="s">
        <v>20</v>
      </c>
      <c r="E260" t="s">
        <v>21</v>
      </c>
      <c r="F260">
        <v>32</v>
      </c>
      <c r="G260" t="s">
        <v>98</v>
      </c>
      <c r="H260">
        <v>170</v>
      </c>
      <c r="I260">
        <v>48</v>
      </c>
      <c r="J260">
        <v>5</v>
      </c>
      <c r="K260">
        <v>0.77981651376146788</v>
      </c>
      <c r="L260">
        <v>0.97142857142857142</v>
      </c>
      <c r="M260">
        <v>0.86513994910941472</v>
      </c>
    </row>
    <row r="261" spans="1:13" x14ac:dyDescent="0.35">
      <c r="A261" t="s">
        <v>94</v>
      </c>
      <c r="B261" t="s">
        <v>109</v>
      </c>
      <c r="C261" t="s">
        <v>15</v>
      </c>
      <c r="D261" t="s">
        <v>22</v>
      </c>
      <c r="E261" t="s">
        <v>23</v>
      </c>
      <c r="F261">
        <v>32</v>
      </c>
      <c r="G261" t="s">
        <v>98</v>
      </c>
      <c r="H261">
        <v>170</v>
      </c>
      <c r="I261">
        <v>48</v>
      </c>
      <c r="J261">
        <v>5</v>
      </c>
      <c r="K261">
        <v>0.77981651376146788</v>
      </c>
      <c r="L261">
        <v>0.97142857142857142</v>
      </c>
      <c r="M261">
        <v>0.86513994910941472</v>
      </c>
    </row>
    <row r="262" spans="1:13" x14ac:dyDescent="0.35">
      <c r="A262" t="s">
        <v>94</v>
      </c>
      <c r="B262" t="s">
        <v>110</v>
      </c>
      <c r="C262" t="s">
        <v>15</v>
      </c>
      <c r="D262" t="s">
        <v>16</v>
      </c>
      <c r="F262">
        <v>32</v>
      </c>
      <c r="G262" t="s">
        <v>96</v>
      </c>
      <c r="H262">
        <v>147</v>
      </c>
      <c r="I262">
        <v>280</v>
      </c>
      <c r="J262">
        <v>13</v>
      </c>
      <c r="K262">
        <v>0.34426229508196721</v>
      </c>
      <c r="L262">
        <v>0.91874999999999996</v>
      </c>
      <c r="M262">
        <v>0.50085178875638836</v>
      </c>
    </row>
    <row r="263" spans="1:13" x14ac:dyDescent="0.35">
      <c r="A263" t="s">
        <v>94</v>
      </c>
      <c r="B263" t="s">
        <v>110</v>
      </c>
      <c r="C263" t="s">
        <v>15</v>
      </c>
      <c r="D263" t="s">
        <v>18</v>
      </c>
      <c r="F263">
        <v>32</v>
      </c>
      <c r="G263" t="s">
        <v>98</v>
      </c>
      <c r="H263">
        <v>144</v>
      </c>
      <c r="I263">
        <v>49</v>
      </c>
      <c r="J263">
        <v>16</v>
      </c>
      <c r="K263">
        <v>0.74611398963730569</v>
      </c>
      <c r="L263">
        <v>0.9</v>
      </c>
      <c r="M263">
        <v>0.81586402266288949</v>
      </c>
    </row>
    <row r="264" spans="1:13" x14ac:dyDescent="0.35">
      <c r="A264" t="s">
        <v>94</v>
      </c>
      <c r="B264" t="s">
        <v>110</v>
      </c>
      <c r="C264" t="s">
        <v>15</v>
      </c>
      <c r="D264" t="s">
        <v>20</v>
      </c>
      <c r="E264" t="s">
        <v>21</v>
      </c>
      <c r="F264">
        <v>32</v>
      </c>
      <c r="G264" t="s">
        <v>97</v>
      </c>
      <c r="H264">
        <v>150</v>
      </c>
      <c r="I264">
        <v>14</v>
      </c>
      <c r="J264">
        <v>10</v>
      </c>
      <c r="K264">
        <v>0.91463414634146345</v>
      </c>
      <c r="L264">
        <v>0.9375</v>
      </c>
      <c r="M264">
        <v>0.92592592592592604</v>
      </c>
    </row>
    <row r="265" spans="1:13" x14ac:dyDescent="0.35">
      <c r="A265" t="s">
        <v>94</v>
      </c>
      <c r="B265" t="s">
        <v>110</v>
      </c>
      <c r="C265" t="s">
        <v>15</v>
      </c>
      <c r="D265" t="s">
        <v>22</v>
      </c>
      <c r="E265" t="s">
        <v>23</v>
      </c>
      <c r="F265">
        <v>32</v>
      </c>
      <c r="G265" t="s">
        <v>97</v>
      </c>
      <c r="H265">
        <v>150</v>
      </c>
      <c r="I265">
        <v>15</v>
      </c>
      <c r="J265">
        <v>10</v>
      </c>
      <c r="K265">
        <v>0.90909090909090917</v>
      </c>
      <c r="L265">
        <v>0.9375</v>
      </c>
      <c r="M265">
        <v>0.92307692307692302</v>
      </c>
    </row>
    <row r="266" spans="1:13" x14ac:dyDescent="0.35">
      <c r="A266" t="s">
        <v>94</v>
      </c>
      <c r="B266" t="s">
        <v>111</v>
      </c>
      <c r="C266" t="s">
        <v>15</v>
      </c>
      <c r="D266" t="s">
        <v>16</v>
      </c>
      <c r="F266">
        <v>32</v>
      </c>
      <c r="G266" t="s">
        <v>98</v>
      </c>
      <c r="H266">
        <v>547</v>
      </c>
      <c r="I266">
        <v>261</v>
      </c>
      <c r="J266">
        <v>29</v>
      </c>
      <c r="K266">
        <v>0.67698019801980203</v>
      </c>
      <c r="L266">
        <v>0.94965277777777779</v>
      </c>
      <c r="M266">
        <v>0.79046242774566466</v>
      </c>
    </row>
    <row r="267" spans="1:13" x14ac:dyDescent="0.35">
      <c r="A267" t="s">
        <v>94</v>
      </c>
      <c r="B267" t="s">
        <v>111</v>
      </c>
      <c r="C267" t="s">
        <v>15</v>
      </c>
      <c r="D267" t="s">
        <v>18</v>
      </c>
      <c r="F267">
        <v>32</v>
      </c>
      <c r="G267" t="s">
        <v>97</v>
      </c>
      <c r="H267">
        <v>136</v>
      </c>
      <c r="I267">
        <v>413</v>
      </c>
      <c r="J267">
        <v>440</v>
      </c>
      <c r="K267">
        <v>0.24772313296903459</v>
      </c>
      <c r="L267">
        <v>0.2361111111111111</v>
      </c>
      <c r="M267">
        <v>0.2417777777777777</v>
      </c>
    </row>
    <row r="268" spans="1:13" x14ac:dyDescent="0.35">
      <c r="A268" t="s">
        <v>94</v>
      </c>
      <c r="B268" t="s">
        <v>111</v>
      </c>
      <c r="C268" t="s">
        <v>15</v>
      </c>
      <c r="D268" t="s">
        <v>20</v>
      </c>
      <c r="E268" t="s">
        <v>21</v>
      </c>
      <c r="F268">
        <v>32</v>
      </c>
      <c r="G268" t="s">
        <v>98</v>
      </c>
      <c r="H268">
        <v>493</v>
      </c>
      <c r="I268">
        <v>44</v>
      </c>
      <c r="J268">
        <v>83</v>
      </c>
      <c r="K268">
        <v>0.91806331471135938</v>
      </c>
      <c r="L268">
        <v>0.85590277777777779</v>
      </c>
      <c r="M268">
        <v>0.88589398023360277</v>
      </c>
    </row>
    <row r="269" spans="1:13" x14ac:dyDescent="0.35">
      <c r="A269" t="s">
        <v>94</v>
      </c>
      <c r="B269" t="s">
        <v>111</v>
      </c>
      <c r="C269" t="s">
        <v>15</v>
      </c>
      <c r="D269" t="s">
        <v>22</v>
      </c>
      <c r="E269" t="s">
        <v>23</v>
      </c>
      <c r="F269">
        <v>32</v>
      </c>
      <c r="G269" t="s">
        <v>98</v>
      </c>
      <c r="H269">
        <v>497</v>
      </c>
      <c r="I269">
        <v>44</v>
      </c>
      <c r="J269">
        <v>79</v>
      </c>
      <c r="K269">
        <v>0.91866913123844718</v>
      </c>
      <c r="L269">
        <v>0.86284722222222221</v>
      </c>
      <c r="M269">
        <v>0.88988361683079675</v>
      </c>
    </row>
    <row r="270" spans="1:13" x14ac:dyDescent="0.35">
      <c r="A270" t="s">
        <v>94</v>
      </c>
      <c r="B270" t="s">
        <v>112</v>
      </c>
      <c r="C270" t="s">
        <v>15</v>
      </c>
      <c r="D270" t="s">
        <v>16</v>
      </c>
      <c r="F270">
        <v>32</v>
      </c>
      <c r="G270" t="s">
        <v>113</v>
      </c>
      <c r="H270">
        <v>493</v>
      </c>
      <c r="I270">
        <v>75</v>
      </c>
      <c r="J270">
        <v>36</v>
      </c>
      <c r="K270">
        <v>0.86795774647887325</v>
      </c>
      <c r="L270">
        <v>0.93194706994328924</v>
      </c>
      <c r="M270">
        <v>0.89881494986326349</v>
      </c>
    </row>
    <row r="271" spans="1:13" x14ac:dyDescent="0.35">
      <c r="A271" t="s">
        <v>94</v>
      </c>
      <c r="B271" t="s">
        <v>112</v>
      </c>
      <c r="C271" t="s">
        <v>15</v>
      </c>
      <c r="D271" t="s">
        <v>18</v>
      </c>
      <c r="F271">
        <v>32</v>
      </c>
      <c r="G271" t="s">
        <v>97</v>
      </c>
      <c r="H271">
        <v>514</v>
      </c>
      <c r="I271">
        <v>28</v>
      </c>
      <c r="J271">
        <v>15</v>
      </c>
      <c r="K271">
        <v>0.94833948339483398</v>
      </c>
      <c r="L271">
        <v>0.97164461247637035</v>
      </c>
      <c r="M271">
        <v>0.95985060690943036</v>
      </c>
    </row>
    <row r="272" spans="1:13" x14ac:dyDescent="0.35">
      <c r="A272" t="s">
        <v>94</v>
      </c>
      <c r="B272" t="s">
        <v>112</v>
      </c>
      <c r="C272" t="s">
        <v>15</v>
      </c>
      <c r="D272" t="s">
        <v>20</v>
      </c>
      <c r="E272" t="s">
        <v>21</v>
      </c>
      <c r="F272">
        <v>32</v>
      </c>
      <c r="G272" t="s">
        <v>97</v>
      </c>
      <c r="H272">
        <v>506</v>
      </c>
      <c r="I272">
        <v>20</v>
      </c>
      <c r="J272">
        <v>23</v>
      </c>
      <c r="K272">
        <v>0.96197718631178719</v>
      </c>
      <c r="L272">
        <v>0.95652173913043481</v>
      </c>
      <c r="M272">
        <v>0.95924170616113735</v>
      </c>
    </row>
    <row r="273" spans="1:13" x14ac:dyDescent="0.35">
      <c r="A273" t="s">
        <v>94</v>
      </c>
      <c r="B273" t="s">
        <v>112</v>
      </c>
      <c r="C273" t="s">
        <v>15</v>
      </c>
      <c r="D273" t="s">
        <v>22</v>
      </c>
      <c r="E273" t="s">
        <v>23</v>
      </c>
      <c r="F273">
        <v>32</v>
      </c>
      <c r="G273" t="s">
        <v>97</v>
      </c>
      <c r="H273">
        <v>507</v>
      </c>
      <c r="I273">
        <v>23</v>
      </c>
      <c r="J273">
        <v>22</v>
      </c>
      <c r="K273">
        <v>0.95660377358490556</v>
      </c>
      <c r="L273">
        <v>0.9584120982986768</v>
      </c>
      <c r="M273">
        <v>0.95750708215297442</v>
      </c>
    </row>
    <row r="274" spans="1:13" x14ac:dyDescent="0.35">
      <c r="A274" t="s">
        <v>94</v>
      </c>
      <c r="B274" t="s">
        <v>114</v>
      </c>
      <c r="C274" t="s">
        <v>15</v>
      </c>
      <c r="D274" t="s">
        <v>16</v>
      </c>
      <c r="F274">
        <v>32</v>
      </c>
      <c r="G274" t="s">
        <v>97</v>
      </c>
      <c r="H274">
        <v>618</v>
      </c>
      <c r="I274">
        <v>90</v>
      </c>
      <c r="J274">
        <v>18</v>
      </c>
      <c r="K274">
        <v>0.8728813559322034</v>
      </c>
      <c r="L274">
        <v>0.97169811320754718</v>
      </c>
      <c r="M274">
        <v>0.91964285714285721</v>
      </c>
    </row>
    <row r="275" spans="1:13" x14ac:dyDescent="0.35">
      <c r="A275" t="s">
        <v>94</v>
      </c>
      <c r="B275" t="s">
        <v>114</v>
      </c>
      <c r="C275" t="s">
        <v>15</v>
      </c>
      <c r="D275" t="s">
        <v>18</v>
      </c>
      <c r="F275">
        <v>32</v>
      </c>
      <c r="G275" t="s">
        <v>97</v>
      </c>
      <c r="H275">
        <v>595</v>
      </c>
      <c r="I275">
        <v>32</v>
      </c>
      <c r="J275">
        <v>41</v>
      </c>
      <c r="K275">
        <v>0.94896331738437001</v>
      </c>
      <c r="L275">
        <v>0.9355345911949684</v>
      </c>
      <c r="M275">
        <v>0.94220110847189242</v>
      </c>
    </row>
    <row r="276" spans="1:13" x14ac:dyDescent="0.35">
      <c r="A276" t="s">
        <v>94</v>
      </c>
      <c r="B276" t="s">
        <v>114</v>
      </c>
      <c r="C276" t="s">
        <v>15</v>
      </c>
      <c r="D276" t="s">
        <v>20</v>
      </c>
      <c r="E276" t="s">
        <v>21</v>
      </c>
      <c r="F276">
        <v>32</v>
      </c>
      <c r="G276" t="s">
        <v>97</v>
      </c>
      <c r="H276">
        <v>605</v>
      </c>
      <c r="I276">
        <v>30</v>
      </c>
      <c r="J276">
        <v>31</v>
      </c>
      <c r="K276">
        <v>0.952755905511811</v>
      </c>
      <c r="L276">
        <v>0.95125786163521997</v>
      </c>
      <c r="M276">
        <v>0.95200629425649075</v>
      </c>
    </row>
    <row r="277" spans="1:13" x14ac:dyDescent="0.35">
      <c r="A277" t="s">
        <v>94</v>
      </c>
      <c r="B277" t="s">
        <v>114</v>
      </c>
      <c r="C277" t="s">
        <v>15</v>
      </c>
      <c r="D277" t="s">
        <v>22</v>
      </c>
      <c r="E277" t="s">
        <v>23</v>
      </c>
      <c r="F277">
        <v>32</v>
      </c>
      <c r="G277" t="s">
        <v>97</v>
      </c>
      <c r="H277">
        <v>606</v>
      </c>
      <c r="I277">
        <v>33</v>
      </c>
      <c r="J277">
        <v>30</v>
      </c>
      <c r="K277">
        <v>0.94835680751173723</v>
      </c>
      <c r="L277">
        <v>0.95283018867924518</v>
      </c>
      <c r="M277">
        <v>0.95058823529411762</v>
      </c>
    </row>
    <row r="278" spans="1:13" x14ac:dyDescent="0.35">
      <c r="A278" t="s">
        <v>94</v>
      </c>
      <c r="B278" t="s">
        <v>115</v>
      </c>
      <c r="C278" t="s">
        <v>15</v>
      </c>
      <c r="D278" t="s">
        <v>16</v>
      </c>
      <c r="F278">
        <v>32</v>
      </c>
      <c r="G278" t="s">
        <v>97</v>
      </c>
      <c r="H278">
        <v>509</v>
      </c>
      <c r="I278">
        <v>170</v>
      </c>
      <c r="J278">
        <v>13</v>
      </c>
      <c r="K278">
        <v>0.74963181148748159</v>
      </c>
      <c r="L278">
        <v>0.97509578544061304</v>
      </c>
      <c r="M278">
        <v>0.84762697751873439</v>
      </c>
    </row>
    <row r="279" spans="1:13" x14ac:dyDescent="0.35">
      <c r="A279" t="s">
        <v>94</v>
      </c>
      <c r="B279" t="s">
        <v>115</v>
      </c>
      <c r="C279" t="s">
        <v>15</v>
      </c>
      <c r="D279" t="s">
        <v>18</v>
      </c>
      <c r="F279">
        <v>32</v>
      </c>
      <c r="G279" t="s">
        <v>97</v>
      </c>
      <c r="H279">
        <v>507</v>
      </c>
      <c r="I279">
        <v>103</v>
      </c>
      <c r="J279">
        <v>15</v>
      </c>
      <c r="K279">
        <v>0.83114754098360655</v>
      </c>
      <c r="L279">
        <v>0.97126436781609204</v>
      </c>
      <c r="M279">
        <v>0.89575971731448767</v>
      </c>
    </row>
    <row r="280" spans="1:13" x14ac:dyDescent="0.35">
      <c r="A280" t="s">
        <v>94</v>
      </c>
      <c r="B280" t="s">
        <v>115</v>
      </c>
      <c r="C280" t="s">
        <v>15</v>
      </c>
      <c r="D280" t="s">
        <v>20</v>
      </c>
      <c r="E280" t="s">
        <v>21</v>
      </c>
      <c r="F280">
        <v>32</v>
      </c>
      <c r="G280" t="s">
        <v>97</v>
      </c>
      <c r="H280">
        <v>495</v>
      </c>
      <c r="I280">
        <v>33</v>
      </c>
      <c r="J280">
        <v>27</v>
      </c>
      <c r="K280">
        <v>0.9375</v>
      </c>
      <c r="L280">
        <v>0.94827586206896564</v>
      </c>
      <c r="M280">
        <v>0.94285714285714284</v>
      </c>
    </row>
    <row r="281" spans="1:13" x14ac:dyDescent="0.35">
      <c r="A281" t="s">
        <v>94</v>
      </c>
      <c r="B281" t="s">
        <v>115</v>
      </c>
      <c r="C281" t="s">
        <v>15</v>
      </c>
      <c r="D281" t="s">
        <v>22</v>
      </c>
      <c r="E281" t="s">
        <v>23</v>
      </c>
      <c r="F281">
        <v>32</v>
      </c>
      <c r="G281" t="s">
        <v>97</v>
      </c>
      <c r="H281">
        <v>498</v>
      </c>
      <c r="I281">
        <v>34</v>
      </c>
      <c r="J281">
        <v>24</v>
      </c>
      <c r="K281">
        <v>0.93609022556390975</v>
      </c>
      <c r="L281">
        <v>0.95402298850574718</v>
      </c>
      <c r="M281">
        <v>0.94497153700189762</v>
      </c>
    </row>
    <row r="282" spans="1:13" x14ac:dyDescent="0.35">
      <c r="A282" t="s">
        <v>94</v>
      </c>
      <c r="B282" t="s">
        <v>116</v>
      </c>
      <c r="C282" t="s">
        <v>15</v>
      </c>
      <c r="D282" t="s">
        <v>16</v>
      </c>
      <c r="F282">
        <v>32</v>
      </c>
      <c r="G282" t="s">
        <v>98</v>
      </c>
      <c r="H282">
        <v>324</v>
      </c>
      <c r="I282">
        <v>302</v>
      </c>
      <c r="J282">
        <v>131</v>
      </c>
      <c r="K282">
        <v>0.51757188498402551</v>
      </c>
      <c r="L282">
        <v>0.71208791208791211</v>
      </c>
      <c r="M282">
        <v>0.59944495837187783</v>
      </c>
    </row>
    <row r="283" spans="1:13" x14ac:dyDescent="0.35">
      <c r="A283" t="s">
        <v>94</v>
      </c>
      <c r="B283" t="s">
        <v>116</v>
      </c>
      <c r="C283" t="s">
        <v>15</v>
      </c>
      <c r="D283" t="s">
        <v>18</v>
      </c>
      <c r="F283">
        <v>32</v>
      </c>
      <c r="G283" t="s">
        <v>98</v>
      </c>
      <c r="H283">
        <v>439</v>
      </c>
      <c r="I283">
        <v>34</v>
      </c>
      <c r="J283">
        <v>16</v>
      </c>
      <c r="K283">
        <v>0.92811839323467238</v>
      </c>
      <c r="L283">
        <v>0.96483516483516485</v>
      </c>
      <c r="M283">
        <v>0.94612068965517238</v>
      </c>
    </row>
    <row r="284" spans="1:13" x14ac:dyDescent="0.35">
      <c r="A284" t="s">
        <v>94</v>
      </c>
      <c r="B284" t="s">
        <v>116</v>
      </c>
      <c r="C284" t="s">
        <v>15</v>
      </c>
      <c r="D284" t="s">
        <v>20</v>
      </c>
      <c r="E284" t="s">
        <v>21</v>
      </c>
      <c r="F284">
        <v>32</v>
      </c>
      <c r="G284" t="s">
        <v>97</v>
      </c>
      <c r="H284">
        <v>313</v>
      </c>
      <c r="I284">
        <v>152</v>
      </c>
      <c r="J284">
        <v>142</v>
      </c>
      <c r="K284">
        <v>0.67311827956989245</v>
      </c>
      <c r="L284">
        <v>0.68791208791208791</v>
      </c>
      <c r="M284">
        <v>0.68043478260869561</v>
      </c>
    </row>
    <row r="285" spans="1:13" x14ac:dyDescent="0.35">
      <c r="A285" t="s">
        <v>94</v>
      </c>
      <c r="B285" t="s">
        <v>116</v>
      </c>
      <c r="C285" t="s">
        <v>15</v>
      </c>
      <c r="D285" t="s">
        <v>22</v>
      </c>
      <c r="E285" t="s">
        <v>23</v>
      </c>
      <c r="F285">
        <v>32</v>
      </c>
      <c r="G285" t="s">
        <v>97</v>
      </c>
      <c r="H285">
        <v>313</v>
      </c>
      <c r="I285">
        <v>157</v>
      </c>
      <c r="J285">
        <v>142</v>
      </c>
      <c r="K285">
        <v>0.66595744680851066</v>
      </c>
      <c r="L285">
        <v>0.68791208791208791</v>
      </c>
      <c r="M285">
        <v>0.67675675675675684</v>
      </c>
    </row>
    <row r="286" spans="1:13" x14ac:dyDescent="0.35">
      <c r="A286" t="s">
        <v>94</v>
      </c>
      <c r="B286" t="s">
        <v>117</v>
      </c>
      <c r="C286" t="s">
        <v>15</v>
      </c>
      <c r="D286" t="s">
        <v>16</v>
      </c>
      <c r="F286">
        <v>32</v>
      </c>
      <c r="G286" t="s">
        <v>98</v>
      </c>
      <c r="H286">
        <v>593</v>
      </c>
      <c r="I286">
        <v>110</v>
      </c>
      <c r="J286">
        <v>27</v>
      </c>
      <c r="K286">
        <v>0.84352773826458038</v>
      </c>
      <c r="L286">
        <v>0.95645161290322578</v>
      </c>
      <c r="M286">
        <v>0.89644746787603935</v>
      </c>
    </row>
    <row r="287" spans="1:13" x14ac:dyDescent="0.35">
      <c r="A287" t="s">
        <v>94</v>
      </c>
      <c r="B287" t="s">
        <v>117</v>
      </c>
      <c r="C287" t="s">
        <v>15</v>
      </c>
      <c r="D287" t="s">
        <v>18</v>
      </c>
      <c r="F287">
        <v>32</v>
      </c>
      <c r="G287" t="s">
        <v>97</v>
      </c>
      <c r="H287">
        <v>562</v>
      </c>
      <c r="I287">
        <v>100</v>
      </c>
      <c r="J287">
        <v>58</v>
      </c>
      <c r="K287">
        <v>0.84894259818731121</v>
      </c>
      <c r="L287">
        <v>0.90645161290322585</v>
      </c>
      <c r="M287">
        <v>0.87675507020280818</v>
      </c>
    </row>
    <row r="288" spans="1:13" x14ac:dyDescent="0.35">
      <c r="A288" t="s">
        <v>94</v>
      </c>
      <c r="B288" t="s">
        <v>117</v>
      </c>
      <c r="C288" t="s">
        <v>15</v>
      </c>
      <c r="D288" t="s">
        <v>20</v>
      </c>
      <c r="E288" t="s">
        <v>21</v>
      </c>
      <c r="F288">
        <v>32</v>
      </c>
      <c r="G288" t="s">
        <v>97</v>
      </c>
      <c r="H288">
        <v>531</v>
      </c>
      <c r="I288">
        <v>71</v>
      </c>
      <c r="J288">
        <v>89</v>
      </c>
      <c r="K288">
        <v>0.88205980066445178</v>
      </c>
      <c r="L288">
        <v>0.8564516129032258</v>
      </c>
      <c r="M288">
        <v>0.86906710310965629</v>
      </c>
    </row>
    <row r="289" spans="1:13" x14ac:dyDescent="0.35">
      <c r="A289" t="s">
        <v>94</v>
      </c>
      <c r="B289" t="s">
        <v>117</v>
      </c>
      <c r="C289" t="s">
        <v>15</v>
      </c>
      <c r="D289" t="s">
        <v>22</v>
      </c>
      <c r="E289" t="s">
        <v>23</v>
      </c>
      <c r="F289">
        <v>32</v>
      </c>
      <c r="G289" t="s">
        <v>97</v>
      </c>
      <c r="H289">
        <v>542</v>
      </c>
      <c r="I289">
        <v>76</v>
      </c>
      <c r="J289">
        <v>78</v>
      </c>
      <c r="K289">
        <v>0.87702265372168287</v>
      </c>
      <c r="L289">
        <v>0.87419354838709673</v>
      </c>
      <c r="M289">
        <v>0.87560581583198704</v>
      </c>
    </row>
    <row r="290" spans="1:13" x14ac:dyDescent="0.35">
      <c r="A290" t="s">
        <v>94</v>
      </c>
      <c r="B290" t="s">
        <v>118</v>
      </c>
      <c r="C290" t="s">
        <v>15</v>
      </c>
      <c r="D290" t="s">
        <v>16</v>
      </c>
      <c r="F290">
        <v>32</v>
      </c>
      <c r="G290" t="s">
        <v>98</v>
      </c>
      <c r="H290">
        <v>1685</v>
      </c>
      <c r="I290">
        <v>82</v>
      </c>
      <c r="J290">
        <v>137</v>
      </c>
      <c r="K290">
        <v>0.95359366157328795</v>
      </c>
      <c r="L290">
        <v>0.92480790340285401</v>
      </c>
      <c r="M290">
        <v>0.93898021733073278</v>
      </c>
    </row>
    <row r="291" spans="1:13" x14ac:dyDescent="0.35">
      <c r="A291" t="s">
        <v>94</v>
      </c>
      <c r="B291" t="s">
        <v>118</v>
      </c>
      <c r="C291" t="s">
        <v>15</v>
      </c>
      <c r="D291" t="s">
        <v>18</v>
      </c>
      <c r="F291">
        <v>32</v>
      </c>
      <c r="G291" t="s">
        <v>96</v>
      </c>
      <c r="H291">
        <v>163</v>
      </c>
      <c r="I291">
        <v>272</v>
      </c>
      <c r="J291">
        <v>1659</v>
      </c>
      <c r="K291">
        <v>0.37471264367816087</v>
      </c>
      <c r="L291">
        <v>8.9462129527991194E-2</v>
      </c>
      <c r="M291">
        <v>0.14443952148870179</v>
      </c>
    </row>
    <row r="292" spans="1:13" x14ac:dyDescent="0.35">
      <c r="A292" t="s">
        <v>94</v>
      </c>
      <c r="B292" t="s">
        <v>118</v>
      </c>
      <c r="C292" t="s">
        <v>15</v>
      </c>
      <c r="D292" t="s">
        <v>20</v>
      </c>
      <c r="E292" t="s">
        <v>21</v>
      </c>
      <c r="F292">
        <v>32</v>
      </c>
      <c r="G292" t="s">
        <v>98</v>
      </c>
      <c r="H292">
        <v>548</v>
      </c>
      <c r="I292">
        <v>35</v>
      </c>
      <c r="J292">
        <v>1274</v>
      </c>
      <c r="K292">
        <v>0.93996569468267577</v>
      </c>
      <c r="L292">
        <v>0.300768386388584</v>
      </c>
      <c r="M292">
        <v>0.4557172557172558</v>
      </c>
    </row>
    <row r="293" spans="1:13" x14ac:dyDescent="0.35">
      <c r="A293" t="s">
        <v>94</v>
      </c>
      <c r="B293" t="s">
        <v>118</v>
      </c>
      <c r="C293" t="s">
        <v>15</v>
      </c>
      <c r="D293" t="s">
        <v>22</v>
      </c>
      <c r="E293" t="s">
        <v>23</v>
      </c>
      <c r="F293">
        <v>32</v>
      </c>
      <c r="G293" t="s">
        <v>98</v>
      </c>
      <c r="H293">
        <v>800</v>
      </c>
      <c r="I293">
        <v>52</v>
      </c>
      <c r="J293">
        <v>1022</v>
      </c>
      <c r="K293">
        <v>0.93896713615023475</v>
      </c>
      <c r="L293">
        <v>0.43907793633369918</v>
      </c>
      <c r="M293">
        <v>0.59835452505609577</v>
      </c>
    </row>
    <row r="294" spans="1:13" x14ac:dyDescent="0.35">
      <c r="A294" t="s">
        <v>94</v>
      </c>
      <c r="B294" t="s">
        <v>119</v>
      </c>
      <c r="C294" t="s">
        <v>15</v>
      </c>
      <c r="D294" t="s">
        <v>16</v>
      </c>
      <c r="F294">
        <v>32</v>
      </c>
      <c r="G294" t="s">
        <v>100</v>
      </c>
      <c r="H294">
        <v>250</v>
      </c>
      <c r="I294">
        <v>389</v>
      </c>
      <c r="J294">
        <v>8</v>
      </c>
      <c r="K294">
        <v>0.3912363067292644</v>
      </c>
      <c r="L294">
        <v>0.96899224806201545</v>
      </c>
      <c r="M294">
        <v>0.55741360089186176</v>
      </c>
    </row>
    <row r="295" spans="1:13" x14ac:dyDescent="0.35">
      <c r="A295" t="s">
        <v>94</v>
      </c>
      <c r="B295" t="s">
        <v>119</v>
      </c>
      <c r="C295" t="s">
        <v>15</v>
      </c>
      <c r="D295" t="s">
        <v>18</v>
      </c>
      <c r="F295">
        <v>32</v>
      </c>
      <c r="G295" t="s">
        <v>101</v>
      </c>
      <c r="H295">
        <v>2</v>
      </c>
      <c r="I295">
        <v>24</v>
      </c>
      <c r="J295">
        <v>256</v>
      </c>
      <c r="K295">
        <v>7.69230769230769E-2</v>
      </c>
      <c r="L295">
        <v>7.7519379844960996E-3</v>
      </c>
      <c r="M295">
        <v>1.4084507042253501E-2</v>
      </c>
    </row>
    <row r="296" spans="1:13" x14ac:dyDescent="0.35">
      <c r="A296" t="s">
        <v>94</v>
      </c>
      <c r="B296" t="s">
        <v>119</v>
      </c>
      <c r="C296" t="s">
        <v>15</v>
      </c>
      <c r="D296" t="s">
        <v>20</v>
      </c>
      <c r="E296" t="s">
        <v>21</v>
      </c>
      <c r="F296">
        <v>32</v>
      </c>
      <c r="G296" t="s">
        <v>100</v>
      </c>
      <c r="H296">
        <v>248</v>
      </c>
      <c r="I296">
        <v>33</v>
      </c>
      <c r="J296">
        <v>10</v>
      </c>
      <c r="K296">
        <v>0.88256227758007122</v>
      </c>
      <c r="L296">
        <v>0.96124031007751942</v>
      </c>
      <c r="M296">
        <v>0.92022263450834885</v>
      </c>
    </row>
    <row r="297" spans="1:13" x14ac:dyDescent="0.35">
      <c r="A297" t="s">
        <v>94</v>
      </c>
      <c r="B297" t="s">
        <v>119</v>
      </c>
      <c r="C297" t="s">
        <v>15</v>
      </c>
      <c r="D297" t="s">
        <v>22</v>
      </c>
      <c r="E297" t="s">
        <v>23</v>
      </c>
      <c r="F297">
        <v>32</v>
      </c>
      <c r="G297" t="s">
        <v>100</v>
      </c>
      <c r="H297">
        <v>248</v>
      </c>
      <c r="I297">
        <v>36</v>
      </c>
      <c r="J297">
        <v>10</v>
      </c>
      <c r="K297">
        <v>0.87323943661971826</v>
      </c>
      <c r="L297">
        <v>0.96124031007751942</v>
      </c>
      <c r="M297">
        <v>0.91512915129151284</v>
      </c>
    </row>
    <row r="298" spans="1:13" x14ac:dyDescent="0.35">
      <c r="A298" t="s">
        <v>94</v>
      </c>
      <c r="B298" t="s">
        <v>120</v>
      </c>
      <c r="C298" t="s">
        <v>15</v>
      </c>
      <c r="D298" t="s">
        <v>16</v>
      </c>
      <c r="F298">
        <v>32</v>
      </c>
      <c r="G298" t="s">
        <v>98</v>
      </c>
      <c r="H298">
        <v>481</v>
      </c>
      <c r="I298">
        <v>191</v>
      </c>
      <c r="J298">
        <v>2</v>
      </c>
      <c r="K298">
        <v>0.71577380952380953</v>
      </c>
      <c r="L298">
        <v>0.99585921325051763</v>
      </c>
      <c r="M298">
        <v>0.83290043290043281</v>
      </c>
    </row>
    <row r="299" spans="1:13" x14ac:dyDescent="0.35">
      <c r="A299" t="s">
        <v>94</v>
      </c>
      <c r="B299" t="s">
        <v>120</v>
      </c>
      <c r="C299" t="s">
        <v>15</v>
      </c>
      <c r="D299" t="s">
        <v>18</v>
      </c>
      <c r="F299">
        <v>32</v>
      </c>
      <c r="G299" t="s">
        <v>97</v>
      </c>
      <c r="H299">
        <v>477</v>
      </c>
      <c r="I299">
        <v>11</v>
      </c>
      <c r="J299">
        <v>6</v>
      </c>
      <c r="K299">
        <v>0.97745901639344257</v>
      </c>
      <c r="L299">
        <v>0.98757763975155277</v>
      </c>
      <c r="M299">
        <v>0.98249227600411959</v>
      </c>
    </row>
    <row r="300" spans="1:13" x14ac:dyDescent="0.35">
      <c r="A300" t="s">
        <v>94</v>
      </c>
      <c r="B300" t="s">
        <v>120</v>
      </c>
      <c r="C300" t="s">
        <v>15</v>
      </c>
      <c r="D300" t="s">
        <v>20</v>
      </c>
      <c r="E300" t="s">
        <v>21</v>
      </c>
      <c r="F300">
        <v>32</v>
      </c>
      <c r="G300" t="s">
        <v>98</v>
      </c>
      <c r="H300">
        <v>475</v>
      </c>
      <c r="I300">
        <v>27</v>
      </c>
      <c r="J300">
        <v>8</v>
      </c>
      <c r="K300">
        <v>0.94621513944223123</v>
      </c>
      <c r="L300">
        <v>0.9834368530020704</v>
      </c>
      <c r="M300">
        <v>0.96446700507614203</v>
      </c>
    </row>
    <row r="301" spans="1:13" x14ac:dyDescent="0.35">
      <c r="A301" t="s">
        <v>94</v>
      </c>
      <c r="B301" t="s">
        <v>120</v>
      </c>
      <c r="C301" t="s">
        <v>15</v>
      </c>
      <c r="D301" t="s">
        <v>22</v>
      </c>
      <c r="E301" t="s">
        <v>23</v>
      </c>
      <c r="F301">
        <v>32</v>
      </c>
      <c r="G301" t="s">
        <v>98</v>
      </c>
      <c r="H301">
        <v>476</v>
      </c>
      <c r="I301">
        <v>33</v>
      </c>
      <c r="J301">
        <v>7</v>
      </c>
      <c r="K301">
        <v>0.93516699410609039</v>
      </c>
      <c r="L301">
        <v>0.98550724637681164</v>
      </c>
      <c r="M301">
        <v>0.95967741935483875</v>
      </c>
    </row>
    <row r="302" spans="1:13" x14ac:dyDescent="0.35">
      <c r="A302" t="s">
        <v>94</v>
      </c>
      <c r="B302" t="s">
        <v>121</v>
      </c>
      <c r="C302" t="s">
        <v>15</v>
      </c>
      <c r="D302" t="s">
        <v>16</v>
      </c>
      <c r="F302">
        <v>32</v>
      </c>
      <c r="G302" t="s">
        <v>106</v>
      </c>
      <c r="H302">
        <v>681</v>
      </c>
      <c r="I302">
        <v>165</v>
      </c>
      <c r="J302">
        <v>21</v>
      </c>
      <c r="K302">
        <v>0.80496453900709219</v>
      </c>
      <c r="L302">
        <v>0.97008547008546997</v>
      </c>
      <c r="M302">
        <v>0.87984496124031009</v>
      </c>
    </row>
    <row r="303" spans="1:13" x14ac:dyDescent="0.35">
      <c r="A303" t="s">
        <v>94</v>
      </c>
      <c r="B303" t="s">
        <v>121</v>
      </c>
      <c r="C303" t="s">
        <v>15</v>
      </c>
      <c r="D303" t="s">
        <v>18</v>
      </c>
      <c r="F303">
        <v>32</v>
      </c>
      <c r="G303" t="s">
        <v>96</v>
      </c>
      <c r="H303">
        <v>689</v>
      </c>
      <c r="I303">
        <v>52</v>
      </c>
      <c r="J303">
        <v>13</v>
      </c>
      <c r="K303">
        <v>0.92982456140350878</v>
      </c>
      <c r="L303">
        <v>0.98148148148148162</v>
      </c>
      <c r="M303">
        <v>0.95495495495495497</v>
      </c>
    </row>
    <row r="304" spans="1:13" x14ac:dyDescent="0.35">
      <c r="A304" t="s">
        <v>94</v>
      </c>
      <c r="B304" t="s">
        <v>121</v>
      </c>
      <c r="C304" t="s">
        <v>15</v>
      </c>
      <c r="D304" t="s">
        <v>20</v>
      </c>
      <c r="E304" t="s">
        <v>21</v>
      </c>
      <c r="F304">
        <v>32</v>
      </c>
      <c r="G304" t="s">
        <v>97</v>
      </c>
      <c r="H304">
        <v>689</v>
      </c>
      <c r="I304">
        <v>35</v>
      </c>
      <c r="J304">
        <v>13</v>
      </c>
      <c r="K304">
        <v>0.95165745856353601</v>
      </c>
      <c r="L304">
        <v>0.98148148148148162</v>
      </c>
      <c r="M304">
        <v>0.96633941093969145</v>
      </c>
    </row>
    <row r="305" spans="1:13" x14ac:dyDescent="0.35">
      <c r="A305" t="s">
        <v>94</v>
      </c>
      <c r="B305" t="s">
        <v>121</v>
      </c>
      <c r="C305" t="s">
        <v>15</v>
      </c>
      <c r="D305" t="s">
        <v>22</v>
      </c>
      <c r="E305" t="s">
        <v>23</v>
      </c>
      <c r="F305">
        <v>32</v>
      </c>
      <c r="G305" t="s">
        <v>96</v>
      </c>
      <c r="H305">
        <v>686</v>
      </c>
      <c r="I305">
        <v>34</v>
      </c>
      <c r="J305">
        <v>16</v>
      </c>
      <c r="K305">
        <v>0.95277777777777761</v>
      </c>
      <c r="L305">
        <v>0.97720797720797725</v>
      </c>
      <c r="M305">
        <v>0.9648382559774964</v>
      </c>
    </row>
    <row r="306" spans="1:13" x14ac:dyDescent="0.35">
      <c r="A306" t="s">
        <v>94</v>
      </c>
      <c r="B306" t="s">
        <v>122</v>
      </c>
      <c r="C306" t="s">
        <v>15</v>
      </c>
      <c r="D306" t="s">
        <v>16</v>
      </c>
      <c r="F306">
        <v>32</v>
      </c>
      <c r="G306" t="s">
        <v>123</v>
      </c>
      <c r="H306">
        <v>267</v>
      </c>
      <c r="I306">
        <v>374</v>
      </c>
      <c r="J306">
        <v>9</v>
      </c>
      <c r="K306">
        <v>0.41653666146645868</v>
      </c>
      <c r="L306">
        <v>0.96739130434782605</v>
      </c>
      <c r="M306">
        <v>0.58233369683751368</v>
      </c>
    </row>
    <row r="307" spans="1:13" x14ac:dyDescent="0.35">
      <c r="A307" t="s">
        <v>94</v>
      </c>
      <c r="B307" t="s">
        <v>122</v>
      </c>
      <c r="C307" t="s">
        <v>15</v>
      </c>
      <c r="D307" t="s">
        <v>18</v>
      </c>
      <c r="F307">
        <v>32</v>
      </c>
      <c r="G307" t="s">
        <v>98</v>
      </c>
      <c r="H307">
        <v>250</v>
      </c>
      <c r="I307">
        <v>28</v>
      </c>
      <c r="J307">
        <v>26</v>
      </c>
      <c r="K307">
        <v>0.89928057553956831</v>
      </c>
      <c r="L307">
        <v>0.90579710144927539</v>
      </c>
      <c r="M307">
        <v>0.90252707581227443</v>
      </c>
    </row>
    <row r="308" spans="1:13" x14ac:dyDescent="0.35">
      <c r="A308" t="s">
        <v>94</v>
      </c>
      <c r="B308" t="s">
        <v>122</v>
      </c>
      <c r="C308" t="s">
        <v>15</v>
      </c>
      <c r="D308" t="s">
        <v>20</v>
      </c>
      <c r="E308" t="s">
        <v>21</v>
      </c>
      <c r="F308">
        <v>32</v>
      </c>
      <c r="G308" t="s">
        <v>100</v>
      </c>
      <c r="H308">
        <v>263</v>
      </c>
      <c r="I308">
        <v>67</v>
      </c>
      <c r="J308">
        <v>13</v>
      </c>
      <c r="K308">
        <v>0.79696969696969699</v>
      </c>
      <c r="L308">
        <v>0.95289855072463758</v>
      </c>
      <c r="M308">
        <v>0.86798679867986805</v>
      </c>
    </row>
    <row r="309" spans="1:13" x14ac:dyDescent="0.35">
      <c r="A309" t="s">
        <v>94</v>
      </c>
      <c r="B309" t="s">
        <v>122</v>
      </c>
      <c r="C309" t="s">
        <v>15</v>
      </c>
      <c r="D309" t="s">
        <v>22</v>
      </c>
      <c r="E309" t="s">
        <v>23</v>
      </c>
      <c r="F309">
        <v>32</v>
      </c>
      <c r="G309" t="s">
        <v>100</v>
      </c>
      <c r="H309">
        <v>264</v>
      </c>
      <c r="I309">
        <v>73</v>
      </c>
      <c r="J309">
        <v>12</v>
      </c>
      <c r="K309">
        <v>0.78338278931750738</v>
      </c>
      <c r="L309">
        <v>0.95652173913043481</v>
      </c>
      <c r="M309">
        <v>0.86133768352365414</v>
      </c>
    </row>
    <row r="310" spans="1:13" x14ac:dyDescent="0.35">
      <c r="A310" t="s">
        <v>94</v>
      </c>
      <c r="B310" t="s">
        <v>124</v>
      </c>
      <c r="C310" t="s">
        <v>15</v>
      </c>
      <c r="D310" t="s">
        <v>16</v>
      </c>
      <c r="F310">
        <v>32</v>
      </c>
      <c r="G310" t="s">
        <v>106</v>
      </c>
      <c r="H310">
        <v>624</v>
      </c>
      <c r="I310">
        <v>207</v>
      </c>
      <c r="J310">
        <v>21</v>
      </c>
      <c r="K310">
        <v>0.75090252707581229</v>
      </c>
      <c r="L310">
        <v>0.96744186046511638</v>
      </c>
      <c r="M310">
        <v>0.84552845528455278</v>
      </c>
    </row>
    <row r="311" spans="1:13" x14ac:dyDescent="0.35">
      <c r="A311" t="s">
        <v>94</v>
      </c>
      <c r="B311" t="s">
        <v>124</v>
      </c>
      <c r="C311" t="s">
        <v>15</v>
      </c>
      <c r="D311" t="s">
        <v>18</v>
      </c>
      <c r="F311">
        <v>32</v>
      </c>
      <c r="G311" t="s">
        <v>96</v>
      </c>
      <c r="H311">
        <v>344</v>
      </c>
      <c r="I311">
        <v>185</v>
      </c>
      <c r="J311">
        <v>301</v>
      </c>
      <c r="K311">
        <v>0.65028355387523629</v>
      </c>
      <c r="L311">
        <v>0.53333333333333333</v>
      </c>
      <c r="M311">
        <v>0.58603066439523011</v>
      </c>
    </row>
    <row r="312" spans="1:13" x14ac:dyDescent="0.35">
      <c r="A312" t="s">
        <v>94</v>
      </c>
      <c r="B312" t="s">
        <v>124</v>
      </c>
      <c r="C312" t="s">
        <v>15</v>
      </c>
      <c r="D312" t="s">
        <v>20</v>
      </c>
      <c r="E312" t="s">
        <v>21</v>
      </c>
      <c r="F312">
        <v>32</v>
      </c>
      <c r="G312" t="s">
        <v>97</v>
      </c>
      <c r="H312">
        <v>626</v>
      </c>
      <c r="I312">
        <v>13</v>
      </c>
      <c r="J312">
        <v>19</v>
      </c>
      <c r="K312">
        <v>0.9796557120500784</v>
      </c>
      <c r="L312">
        <v>0.97054263565891485</v>
      </c>
      <c r="M312">
        <v>0.97507788161993758</v>
      </c>
    </row>
    <row r="313" spans="1:13" x14ac:dyDescent="0.35">
      <c r="A313" t="s">
        <v>94</v>
      </c>
      <c r="B313" t="s">
        <v>124</v>
      </c>
      <c r="C313" t="s">
        <v>15</v>
      </c>
      <c r="D313" t="s">
        <v>22</v>
      </c>
      <c r="E313" t="s">
        <v>23</v>
      </c>
      <c r="F313">
        <v>32</v>
      </c>
      <c r="G313" t="s">
        <v>97</v>
      </c>
      <c r="H313">
        <v>626</v>
      </c>
      <c r="I313">
        <v>14</v>
      </c>
      <c r="J313">
        <v>19</v>
      </c>
      <c r="K313">
        <v>0.97812500000000002</v>
      </c>
      <c r="L313">
        <v>0.97054263565891485</v>
      </c>
      <c r="M313">
        <v>0.97431906614786001</v>
      </c>
    </row>
    <row r="314" spans="1:13" x14ac:dyDescent="0.35">
      <c r="A314" t="s">
        <v>94</v>
      </c>
      <c r="B314" t="s">
        <v>125</v>
      </c>
      <c r="C314" t="s">
        <v>15</v>
      </c>
      <c r="D314" t="s">
        <v>16</v>
      </c>
      <c r="F314">
        <v>32</v>
      </c>
      <c r="G314" t="s">
        <v>96</v>
      </c>
      <c r="H314">
        <v>344</v>
      </c>
      <c r="I314">
        <v>369</v>
      </c>
      <c r="J314">
        <v>18</v>
      </c>
      <c r="K314">
        <v>0.48246844319775589</v>
      </c>
      <c r="L314">
        <v>0.95027624309392278</v>
      </c>
      <c r="M314">
        <v>0.64</v>
      </c>
    </row>
    <row r="315" spans="1:13" x14ac:dyDescent="0.35">
      <c r="A315" t="s">
        <v>94</v>
      </c>
      <c r="B315" t="s">
        <v>125</v>
      </c>
      <c r="C315" t="s">
        <v>15</v>
      </c>
      <c r="D315" t="s">
        <v>18</v>
      </c>
      <c r="F315">
        <v>32</v>
      </c>
      <c r="G315" t="s">
        <v>98</v>
      </c>
      <c r="H315">
        <v>311</v>
      </c>
      <c r="I315">
        <v>34</v>
      </c>
      <c r="J315">
        <v>51</v>
      </c>
      <c r="K315">
        <v>0.90144927536231878</v>
      </c>
      <c r="L315">
        <v>0.85911602209944748</v>
      </c>
      <c r="M315">
        <v>0.87977369165487973</v>
      </c>
    </row>
    <row r="316" spans="1:13" x14ac:dyDescent="0.35">
      <c r="A316" t="s">
        <v>94</v>
      </c>
      <c r="B316" t="s">
        <v>125</v>
      </c>
      <c r="C316" t="s">
        <v>15</v>
      </c>
      <c r="D316" t="s">
        <v>20</v>
      </c>
      <c r="E316" t="s">
        <v>21</v>
      </c>
      <c r="F316">
        <v>32</v>
      </c>
      <c r="G316" t="s">
        <v>98</v>
      </c>
      <c r="H316">
        <v>342</v>
      </c>
      <c r="I316">
        <v>73</v>
      </c>
      <c r="J316">
        <v>20</v>
      </c>
      <c r="K316">
        <v>0.82409638554216869</v>
      </c>
      <c r="L316">
        <v>0.94475138121546964</v>
      </c>
      <c r="M316">
        <v>0.88030888030888033</v>
      </c>
    </row>
    <row r="317" spans="1:13" x14ac:dyDescent="0.35">
      <c r="A317" t="s">
        <v>94</v>
      </c>
      <c r="B317" t="s">
        <v>125</v>
      </c>
      <c r="C317" t="s">
        <v>15</v>
      </c>
      <c r="D317" t="s">
        <v>22</v>
      </c>
      <c r="E317" t="s">
        <v>23</v>
      </c>
      <c r="F317">
        <v>32</v>
      </c>
      <c r="G317" t="s">
        <v>98</v>
      </c>
      <c r="H317">
        <v>342</v>
      </c>
      <c r="I317">
        <v>79</v>
      </c>
      <c r="J317">
        <v>20</v>
      </c>
      <c r="K317">
        <v>0.81235154394299292</v>
      </c>
      <c r="L317">
        <v>0.94475138121546964</v>
      </c>
      <c r="M317">
        <v>0.87356321839080475</v>
      </c>
    </row>
    <row r="318" spans="1:13" x14ac:dyDescent="0.35">
      <c r="A318" t="s">
        <v>94</v>
      </c>
      <c r="B318" t="s">
        <v>126</v>
      </c>
      <c r="C318" t="s">
        <v>15</v>
      </c>
      <c r="D318" t="s">
        <v>16</v>
      </c>
      <c r="F318">
        <v>32</v>
      </c>
      <c r="G318" t="s">
        <v>97</v>
      </c>
      <c r="H318">
        <v>771</v>
      </c>
      <c r="I318">
        <v>191</v>
      </c>
      <c r="J318">
        <v>16</v>
      </c>
      <c r="K318">
        <v>0.80145530145530142</v>
      </c>
      <c r="L318">
        <v>0.9796696315120712</v>
      </c>
      <c r="M318">
        <v>0.88164665523156094</v>
      </c>
    </row>
    <row r="319" spans="1:13" x14ac:dyDescent="0.35">
      <c r="A319" t="s">
        <v>94</v>
      </c>
      <c r="B319" t="s">
        <v>126</v>
      </c>
      <c r="C319" t="s">
        <v>15</v>
      </c>
      <c r="D319" t="s">
        <v>18</v>
      </c>
      <c r="F319">
        <v>32</v>
      </c>
      <c r="G319" t="s">
        <v>96</v>
      </c>
      <c r="H319">
        <v>773</v>
      </c>
      <c r="I319">
        <v>16</v>
      </c>
      <c r="J319">
        <v>14</v>
      </c>
      <c r="K319">
        <v>0.97972116603295323</v>
      </c>
      <c r="L319">
        <v>0.98221092757306239</v>
      </c>
      <c r="M319">
        <v>0.980964467005076</v>
      </c>
    </row>
    <row r="320" spans="1:13" x14ac:dyDescent="0.35">
      <c r="A320" t="s">
        <v>94</v>
      </c>
      <c r="B320" t="s">
        <v>126</v>
      </c>
      <c r="C320" t="s">
        <v>15</v>
      </c>
      <c r="D320" t="s">
        <v>20</v>
      </c>
      <c r="E320" t="s">
        <v>21</v>
      </c>
      <c r="F320">
        <v>32</v>
      </c>
      <c r="G320" t="s">
        <v>97</v>
      </c>
      <c r="H320">
        <v>771</v>
      </c>
      <c r="I320">
        <v>20</v>
      </c>
      <c r="J320">
        <v>16</v>
      </c>
      <c r="K320">
        <v>0.97471554993678877</v>
      </c>
      <c r="L320">
        <v>0.9796696315120712</v>
      </c>
      <c r="M320">
        <v>0.97718631178707238</v>
      </c>
    </row>
    <row r="321" spans="1:13" x14ac:dyDescent="0.35">
      <c r="A321" t="s">
        <v>94</v>
      </c>
      <c r="B321" t="s">
        <v>126</v>
      </c>
      <c r="C321" t="s">
        <v>15</v>
      </c>
      <c r="D321" t="s">
        <v>22</v>
      </c>
      <c r="E321" t="s">
        <v>23</v>
      </c>
      <c r="F321">
        <v>32</v>
      </c>
      <c r="G321" t="s">
        <v>97</v>
      </c>
      <c r="H321">
        <v>772</v>
      </c>
      <c r="I321">
        <v>23</v>
      </c>
      <c r="J321">
        <v>15</v>
      </c>
      <c r="K321">
        <v>0.97106918238993722</v>
      </c>
      <c r="L321">
        <v>0.9809402795425668</v>
      </c>
      <c r="M321">
        <v>0.9759797724399496</v>
      </c>
    </row>
    <row r="322" spans="1:13" x14ac:dyDescent="0.35">
      <c r="A322" t="s">
        <v>94</v>
      </c>
      <c r="B322" t="s">
        <v>127</v>
      </c>
      <c r="C322" t="s">
        <v>15</v>
      </c>
      <c r="D322" t="s">
        <v>16</v>
      </c>
      <c r="F322">
        <v>32</v>
      </c>
      <c r="G322" t="s">
        <v>98</v>
      </c>
      <c r="H322">
        <v>1985</v>
      </c>
      <c r="I322">
        <v>40</v>
      </c>
      <c r="J322">
        <v>90</v>
      </c>
      <c r="K322">
        <v>0.98024691358024696</v>
      </c>
      <c r="L322">
        <v>0.95662650602409638</v>
      </c>
      <c r="M322">
        <v>0.96829268292682924</v>
      </c>
    </row>
    <row r="323" spans="1:13" x14ac:dyDescent="0.35">
      <c r="A323" t="s">
        <v>94</v>
      </c>
      <c r="B323" t="s">
        <v>127</v>
      </c>
      <c r="C323" t="s">
        <v>15</v>
      </c>
      <c r="D323" t="s">
        <v>18</v>
      </c>
      <c r="F323">
        <v>32</v>
      </c>
      <c r="G323" t="s">
        <v>98</v>
      </c>
      <c r="H323">
        <v>55</v>
      </c>
      <c r="I323">
        <v>81</v>
      </c>
      <c r="J323">
        <v>2020</v>
      </c>
      <c r="K323">
        <v>0.4044117647058823</v>
      </c>
      <c r="L323">
        <v>2.65060240963855E-2</v>
      </c>
      <c r="M323">
        <v>4.9751243781094502E-2</v>
      </c>
    </row>
    <row r="324" spans="1:13" x14ac:dyDescent="0.35">
      <c r="A324" t="s">
        <v>94</v>
      </c>
      <c r="B324" t="s">
        <v>127</v>
      </c>
      <c r="C324" t="s">
        <v>15</v>
      </c>
      <c r="D324" t="s">
        <v>20</v>
      </c>
      <c r="E324" t="s">
        <v>21</v>
      </c>
      <c r="F324">
        <v>32</v>
      </c>
      <c r="G324" t="s">
        <v>98</v>
      </c>
      <c r="H324">
        <v>1231</v>
      </c>
      <c r="I324">
        <v>17</v>
      </c>
      <c r="J324">
        <v>844</v>
      </c>
      <c r="K324">
        <v>0.98637820512820518</v>
      </c>
      <c r="L324">
        <v>0.59325301204819281</v>
      </c>
      <c r="M324">
        <v>0.74089678001805592</v>
      </c>
    </row>
    <row r="325" spans="1:13" x14ac:dyDescent="0.35">
      <c r="A325" t="s">
        <v>94</v>
      </c>
      <c r="B325" t="s">
        <v>127</v>
      </c>
      <c r="C325" t="s">
        <v>15</v>
      </c>
      <c r="D325" t="s">
        <v>22</v>
      </c>
      <c r="E325" t="s">
        <v>23</v>
      </c>
      <c r="F325">
        <v>32</v>
      </c>
      <c r="G325" t="s">
        <v>98</v>
      </c>
      <c r="H325">
        <v>1600</v>
      </c>
      <c r="I325">
        <v>21</v>
      </c>
      <c r="J325">
        <v>475</v>
      </c>
      <c r="K325">
        <v>0.98704503392967302</v>
      </c>
      <c r="L325">
        <v>0.77108433734939763</v>
      </c>
      <c r="M325">
        <v>0.86580086580086579</v>
      </c>
    </row>
    <row r="326" spans="1:13" x14ac:dyDescent="0.35">
      <c r="A326" t="s">
        <v>94</v>
      </c>
      <c r="B326" t="s">
        <v>128</v>
      </c>
      <c r="C326" t="s">
        <v>15</v>
      </c>
      <c r="D326" t="s">
        <v>16</v>
      </c>
      <c r="F326">
        <v>32</v>
      </c>
      <c r="G326" t="s">
        <v>98</v>
      </c>
      <c r="H326">
        <v>545</v>
      </c>
      <c r="I326">
        <v>428</v>
      </c>
      <c r="J326">
        <v>74</v>
      </c>
      <c r="K326">
        <v>0.56012332990750258</v>
      </c>
      <c r="L326">
        <v>0.88045234248788373</v>
      </c>
      <c r="M326">
        <v>0.68467336683417079</v>
      </c>
    </row>
    <row r="327" spans="1:13" x14ac:dyDescent="0.35">
      <c r="A327" t="s">
        <v>94</v>
      </c>
      <c r="B327" t="s">
        <v>128</v>
      </c>
      <c r="C327" t="s">
        <v>15</v>
      </c>
      <c r="D327" t="s">
        <v>18</v>
      </c>
      <c r="F327">
        <v>32</v>
      </c>
      <c r="G327" t="s">
        <v>97</v>
      </c>
      <c r="H327">
        <v>13</v>
      </c>
      <c r="I327">
        <v>7</v>
      </c>
      <c r="J327">
        <v>606</v>
      </c>
      <c r="K327">
        <v>0.65</v>
      </c>
      <c r="L327">
        <v>2.10016155088853E-2</v>
      </c>
      <c r="M327">
        <v>4.0688575899843503E-2</v>
      </c>
    </row>
    <row r="328" spans="1:13" x14ac:dyDescent="0.35">
      <c r="A328" t="s">
        <v>94</v>
      </c>
      <c r="B328" t="s">
        <v>128</v>
      </c>
      <c r="C328" t="s">
        <v>15</v>
      </c>
      <c r="D328" t="s">
        <v>20</v>
      </c>
      <c r="E328" t="s">
        <v>21</v>
      </c>
      <c r="F328">
        <v>32</v>
      </c>
      <c r="G328" t="s">
        <v>98</v>
      </c>
      <c r="H328">
        <v>450</v>
      </c>
      <c r="I328">
        <v>133</v>
      </c>
      <c r="J328">
        <v>169</v>
      </c>
      <c r="K328">
        <v>0.77186963979416812</v>
      </c>
      <c r="L328">
        <v>0.72697899838449109</v>
      </c>
      <c r="M328">
        <v>0.74875207986688852</v>
      </c>
    </row>
    <row r="329" spans="1:13" x14ac:dyDescent="0.35">
      <c r="A329" t="s">
        <v>94</v>
      </c>
      <c r="B329" t="s">
        <v>128</v>
      </c>
      <c r="C329" t="s">
        <v>15</v>
      </c>
      <c r="D329" t="s">
        <v>22</v>
      </c>
      <c r="E329" t="s">
        <v>23</v>
      </c>
      <c r="F329">
        <v>32</v>
      </c>
      <c r="G329" t="s">
        <v>98</v>
      </c>
      <c r="H329">
        <v>460</v>
      </c>
      <c r="I329">
        <v>134</v>
      </c>
      <c r="J329">
        <v>159</v>
      </c>
      <c r="K329">
        <v>0.77441077441077444</v>
      </c>
      <c r="L329">
        <v>0.74313408723747976</v>
      </c>
      <c r="M329">
        <v>0.75845012366034636</v>
      </c>
    </row>
    <row r="330" spans="1:13" x14ac:dyDescent="0.35">
      <c r="A330" t="s">
        <v>94</v>
      </c>
      <c r="B330" t="s">
        <v>129</v>
      </c>
      <c r="C330" t="s">
        <v>15</v>
      </c>
      <c r="D330" t="s">
        <v>16</v>
      </c>
      <c r="F330">
        <v>32</v>
      </c>
      <c r="G330" t="s">
        <v>96</v>
      </c>
      <c r="H330">
        <v>793</v>
      </c>
      <c r="I330">
        <v>97</v>
      </c>
      <c r="J330">
        <v>24</v>
      </c>
      <c r="K330">
        <v>0.89101123595505616</v>
      </c>
      <c r="L330">
        <v>0.97062423500612005</v>
      </c>
      <c r="M330">
        <v>0.92911540714704155</v>
      </c>
    </row>
    <row r="331" spans="1:13" x14ac:dyDescent="0.35">
      <c r="A331" t="s">
        <v>94</v>
      </c>
      <c r="B331" t="s">
        <v>129</v>
      </c>
      <c r="C331" t="s">
        <v>15</v>
      </c>
      <c r="D331" t="s">
        <v>18</v>
      </c>
      <c r="F331">
        <v>32</v>
      </c>
      <c r="G331" t="s">
        <v>130</v>
      </c>
      <c r="H331">
        <v>380</v>
      </c>
      <c r="I331">
        <v>85</v>
      </c>
      <c r="J331">
        <v>437</v>
      </c>
      <c r="K331">
        <v>0.81720430107526887</v>
      </c>
      <c r="L331">
        <v>0.46511627906976738</v>
      </c>
      <c r="M331">
        <v>0.59282371294851799</v>
      </c>
    </row>
    <row r="332" spans="1:13" x14ac:dyDescent="0.35">
      <c r="A332" t="s">
        <v>94</v>
      </c>
      <c r="B332" t="s">
        <v>129</v>
      </c>
      <c r="C332" t="s">
        <v>15</v>
      </c>
      <c r="D332" t="s">
        <v>20</v>
      </c>
      <c r="E332" t="s">
        <v>21</v>
      </c>
      <c r="F332">
        <v>32</v>
      </c>
      <c r="G332" t="s">
        <v>97</v>
      </c>
      <c r="H332">
        <v>792</v>
      </c>
      <c r="I332">
        <v>7</v>
      </c>
      <c r="J332">
        <v>25</v>
      </c>
      <c r="K332">
        <v>0.99123904881101377</v>
      </c>
      <c r="L332">
        <v>0.96940024479804165</v>
      </c>
      <c r="M332">
        <v>0.9801980198019804</v>
      </c>
    </row>
    <row r="333" spans="1:13" x14ac:dyDescent="0.35">
      <c r="A333" t="s">
        <v>94</v>
      </c>
      <c r="B333" t="s">
        <v>129</v>
      </c>
      <c r="C333" t="s">
        <v>15</v>
      </c>
      <c r="D333" t="s">
        <v>22</v>
      </c>
      <c r="E333" t="s">
        <v>23</v>
      </c>
      <c r="F333">
        <v>32</v>
      </c>
      <c r="G333" t="s">
        <v>97</v>
      </c>
      <c r="H333">
        <v>794</v>
      </c>
      <c r="I333">
        <v>9</v>
      </c>
      <c r="J333">
        <v>23</v>
      </c>
      <c r="K333">
        <v>0.98879202988792037</v>
      </c>
      <c r="L333">
        <v>0.97184822521419845</v>
      </c>
      <c r="M333">
        <v>0.98024691358024685</v>
      </c>
    </row>
    <row r="334" spans="1:13" x14ac:dyDescent="0.35">
      <c r="A334" t="s">
        <v>94</v>
      </c>
      <c r="B334" t="s">
        <v>131</v>
      </c>
      <c r="C334" t="s">
        <v>15</v>
      </c>
      <c r="D334" t="s">
        <v>16</v>
      </c>
      <c r="F334">
        <v>32</v>
      </c>
      <c r="G334" t="s">
        <v>97</v>
      </c>
      <c r="H334">
        <v>839</v>
      </c>
      <c r="I334">
        <v>199</v>
      </c>
      <c r="J334">
        <v>32</v>
      </c>
      <c r="K334">
        <v>0.80828516377649329</v>
      </c>
      <c r="L334">
        <v>0.96326061997703805</v>
      </c>
      <c r="M334">
        <v>0.87899423782084862</v>
      </c>
    </row>
    <row r="335" spans="1:13" x14ac:dyDescent="0.35">
      <c r="A335" t="s">
        <v>94</v>
      </c>
      <c r="B335" t="s">
        <v>131</v>
      </c>
      <c r="C335" t="s">
        <v>15</v>
      </c>
      <c r="D335" t="s">
        <v>18</v>
      </c>
      <c r="F335">
        <v>32</v>
      </c>
      <c r="G335" t="s">
        <v>132</v>
      </c>
      <c r="H335">
        <v>110</v>
      </c>
      <c r="I335">
        <v>209</v>
      </c>
      <c r="J335">
        <v>761</v>
      </c>
      <c r="K335">
        <v>0.34482758620689657</v>
      </c>
      <c r="L335">
        <v>0.1262916188289322</v>
      </c>
      <c r="M335">
        <v>0.18487394957983189</v>
      </c>
    </row>
    <row r="336" spans="1:13" x14ac:dyDescent="0.35">
      <c r="A336" t="s">
        <v>94</v>
      </c>
      <c r="B336" t="s">
        <v>131</v>
      </c>
      <c r="C336" t="s">
        <v>15</v>
      </c>
      <c r="D336" t="s">
        <v>20</v>
      </c>
      <c r="E336" t="s">
        <v>21</v>
      </c>
      <c r="F336">
        <v>32</v>
      </c>
      <c r="G336" t="s">
        <v>97</v>
      </c>
      <c r="H336">
        <v>808</v>
      </c>
      <c r="I336">
        <v>53</v>
      </c>
      <c r="J336">
        <v>63</v>
      </c>
      <c r="K336">
        <v>0.93844367015098717</v>
      </c>
      <c r="L336">
        <v>0.92766934557979319</v>
      </c>
      <c r="M336">
        <v>0.93302540415704383</v>
      </c>
    </row>
    <row r="337" spans="1:13" x14ac:dyDescent="0.35">
      <c r="A337" t="s">
        <v>94</v>
      </c>
      <c r="B337" t="s">
        <v>131</v>
      </c>
      <c r="C337" t="s">
        <v>15</v>
      </c>
      <c r="D337" t="s">
        <v>22</v>
      </c>
      <c r="E337" t="s">
        <v>23</v>
      </c>
      <c r="F337">
        <v>32</v>
      </c>
      <c r="G337" t="s">
        <v>97</v>
      </c>
      <c r="H337">
        <v>814</v>
      </c>
      <c r="I337">
        <v>56</v>
      </c>
      <c r="J337">
        <v>57</v>
      </c>
      <c r="K337">
        <v>0.93563218390804603</v>
      </c>
      <c r="L337">
        <v>0.93455797933409879</v>
      </c>
      <c r="M337">
        <v>0.93509477311889722</v>
      </c>
    </row>
    <row r="338" spans="1:13" x14ac:dyDescent="0.35">
      <c r="A338" t="s">
        <v>94</v>
      </c>
      <c r="B338" t="s">
        <v>133</v>
      </c>
      <c r="C338" t="s">
        <v>15</v>
      </c>
      <c r="D338" t="s">
        <v>16</v>
      </c>
      <c r="F338">
        <v>32</v>
      </c>
      <c r="G338" t="s">
        <v>97</v>
      </c>
      <c r="H338">
        <v>636</v>
      </c>
      <c r="I338">
        <v>90</v>
      </c>
      <c r="J338">
        <v>58</v>
      </c>
      <c r="K338">
        <v>0.87603305785123964</v>
      </c>
      <c r="L338">
        <v>0.91642651296829958</v>
      </c>
      <c r="M338">
        <v>0.89577464788732397</v>
      </c>
    </row>
    <row r="339" spans="1:13" x14ac:dyDescent="0.35">
      <c r="A339" t="s">
        <v>94</v>
      </c>
      <c r="B339" t="s">
        <v>133</v>
      </c>
      <c r="C339" t="s">
        <v>15</v>
      </c>
      <c r="D339" t="s">
        <v>18</v>
      </c>
      <c r="F339">
        <v>32</v>
      </c>
      <c r="G339" t="s">
        <v>134</v>
      </c>
      <c r="H339">
        <v>7</v>
      </c>
      <c r="I339">
        <v>24</v>
      </c>
      <c r="J339">
        <v>687</v>
      </c>
      <c r="K339">
        <v>0.22580645161290319</v>
      </c>
      <c r="L339">
        <v>1.00864553314121E-2</v>
      </c>
      <c r="M339">
        <v>1.9310344827586201E-2</v>
      </c>
    </row>
    <row r="340" spans="1:13" x14ac:dyDescent="0.35">
      <c r="A340" t="s">
        <v>94</v>
      </c>
      <c r="B340" t="s">
        <v>133</v>
      </c>
      <c r="C340" t="s">
        <v>15</v>
      </c>
      <c r="D340" t="s">
        <v>20</v>
      </c>
      <c r="E340" t="s">
        <v>21</v>
      </c>
      <c r="F340">
        <v>32</v>
      </c>
      <c r="G340" t="s">
        <v>97</v>
      </c>
      <c r="H340">
        <v>575</v>
      </c>
      <c r="I340">
        <v>41</v>
      </c>
      <c r="J340">
        <v>119</v>
      </c>
      <c r="K340">
        <v>0.93344155844155841</v>
      </c>
      <c r="L340">
        <v>0.82853025936599423</v>
      </c>
      <c r="M340">
        <v>0.87786259541984735</v>
      </c>
    </row>
    <row r="341" spans="1:13" x14ac:dyDescent="0.35">
      <c r="A341" t="s">
        <v>94</v>
      </c>
      <c r="B341" t="s">
        <v>133</v>
      </c>
      <c r="C341" t="s">
        <v>15</v>
      </c>
      <c r="D341" t="s">
        <v>22</v>
      </c>
      <c r="E341" t="s">
        <v>23</v>
      </c>
      <c r="F341">
        <v>32</v>
      </c>
      <c r="G341" t="s">
        <v>97</v>
      </c>
      <c r="H341">
        <v>592</v>
      </c>
      <c r="I341">
        <v>48</v>
      </c>
      <c r="J341">
        <v>102</v>
      </c>
      <c r="K341">
        <v>0.92500000000000004</v>
      </c>
      <c r="L341">
        <v>0.85302593659942361</v>
      </c>
      <c r="M341">
        <v>0.88755622188905536</v>
      </c>
    </row>
    <row r="342" spans="1:13" x14ac:dyDescent="0.35">
      <c r="A342" t="s">
        <v>94</v>
      </c>
      <c r="B342" t="s">
        <v>135</v>
      </c>
      <c r="C342" t="s">
        <v>15</v>
      </c>
      <c r="D342" t="s">
        <v>16</v>
      </c>
      <c r="F342">
        <v>32</v>
      </c>
      <c r="G342" t="s">
        <v>97</v>
      </c>
      <c r="H342">
        <v>84</v>
      </c>
      <c r="I342">
        <v>379</v>
      </c>
      <c r="J342">
        <v>7</v>
      </c>
      <c r="K342">
        <v>0.1814254859611231</v>
      </c>
      <c r="L342">
        <v>0.92307692307692324</v>
      </c>
      <c r="M342">
        <v>0.30324909747292422</v>
      </c>
    </row>
    <row r="343" spans="1:13" x14ac:dyDescent="0.35">
      <c r="A343" t="s">
        <v>94</v>
      </c>
      <c r="B343" t="s">
        <v>135</v>
      </c>
      <c r="C343" t="s">
        <v>15</v>
      </c>
      <c r="D343" t="s">
        <v>18</v>
      </c>
      <c r="F343">
        <v>32</v>
      </c>
      <c r="G343" t="s">
        <v>98</v>
      </c>
      <c r="H343">
        <v>52</v>
      </c>
      <c r="I343">
        <v>157</v>
      </c>
      <c r="J343">
        <v>39</v>
      </c>
      <c r="K343">
        <v>0.24880382775119611</v>
      </c>
      <c r="L343">
        <v>0.5714285714285714</v>
      </c>
      <c r="M343">
        <v>0.34666666666666668</v>
      </c>
    </row>
    <row r="344" spans="1:13" x14ac:dyDescent="0.35">
      <c r="A344" t="s">
        <v>94</v>
      </c>
      <c r="B344" t="s">
        <v>135</v>
      </c>
      <c r="C344" t="s">
        <v>15</v>
      </c>
      <c r="D344" t="s">
        <v>20</v>
      </c>
      <c r="E344" t="s">
        <v>21</v>
      </c>
      <c r="F344">
        <v>32</v>
      </c>
      <c r="G344" t="s">
        <v>97</v>
      </c>
      <c r="H344">
        <v>74</v>
      </c>
      <c r="I344">
        <v>60</v>
      </c>
      <c r="J344">
        <v>17</v>
      </c>
      <c r="K344">
        <v>0.55223880597014929</v>
      </c>
      <c r="L344">
        <v>0.81318681318681318</v>
      </c>
      <c r="M344">
        <v>0.65777777777777779</v>
      </c>
    </row>
    <row r="345" spans="1:13" x14ac:dyDescent="0.35">
      <c r="A345" t="s">
        <v>94</v>
      </c>
      <c r="B345" t="s">
        <v>135</v>
      </c>
      <c r="C345" t="s">
        <v>15</v>
      </c>
      <c r="D345" t="s">
        <v>22</v>
      </c>
      <c r="E345" t="s">
        <v>23</v>
      </c>
      <c r="F345">
        <v>32</v>
      </c>
      <c r="G345" t="s">
        <v>97</v>
      </c>
      <c r="H345">
        <v>74</v>
      </c>
      <c r="I345">
        <v>62</v>
      </c>
      <c r="J345">
        <v>17</v>
      </c>
      <c r="K345">
        <v>0.54411764705882348</v>
      </c>
      <c r="L345">
        <v>0.81318681318681318</v>
      </c>
      <c r="M345">
        <v>0.65198237885462551</v>
      </c>
    </row>
    <row r="346" spans="1:13" x14ac:dyDescent="0.35">
      <c r="A346" t="s">
        <v>94</v>
      </c>
      <c r="B346" t="s">
        <v>136</v>
      </c>
      <c r="C346" t="s">
        <v>15</v>
      </c>
      <c r="D346" t="s">
        <v>16</v>
      </c>
      <c r="F346">
        <v>32</v>
      </c>
      <c r="G346" t="s">
        <v>96</v>
      </c>
      <c r="H346">
        <v>54</v>
      </c>
      <c r="I346">
        <v>316</v>
      </c>
      <c r="J346">
        <v>3</v>
      </c>
      <c r="K346">
        <v>0.1459459459459459</v>
      </c>
      <c r="L346">
        <v>0.94736842105263164</v>
      </c>
      <c r="M346">
        <v>0.25292740046838408</v>
      </c>
    </row>
    <row r="347" spans="1:13" x14ac:dyDescent="0.35">
      <c r="A347" t="s">
        <v>94</v>
      </c>
      <c r="B347" t="s">
        <v>136</v>
      </c>
      <c r="C347" t="s">
        <v>15</v>
      </c>
      <c r="D347" t="s">
        <v>18</v>
      </c>
      <c r="F347">
        <v>32</v>
      </c>
      <c r="G347" t="s">
        <v>98</v>
      </c>
      <c r="H347">
        <v>54</v>
      </c>
      <c r="I347">
        <v>154</v>
      </c>
      <c r="J347">
        <v>3</v>
      </c>
      <c r="K347">
        <v>0.25961538461538458</v>
      </c>
      <c r="L347">
        <v>0.94736842105263164</v>
      </c>
      <c r="M347">
        <v>0.40754716981132078</v>
      </c>
    </row>
    <row r="348" spans="1:13" x14ac:dyDescent="0.35">
      <c r="A348" t="s">
        <v>94</v>
      </c>
      <c r="B348" t="s">
        <v>136</v>
      </c>
      <c r="C348" t="s">
        <v>15</v>
      </c>
      <c r="D348" t="s">
        <v>20</v>
      </c>
      <c r="E348" t="s">
        <v>21</v>
      </c>
      <c r="F348">
        <v>32</v>
      </c>
      <c r="G348" t="s">
        <v>100</v>
      </c>
      <c r="H348">
        <v>54</v>
      </c>
      <c r="I348">
        <v>24</v>
      </c>
      <c r="J348">
        <v>3</v>
      </c>
      <c r="K348">
        <v>0.69230769230769229</v>
      </c>
      <c r="L348">
        <v>0.94736842105263164</v>
      </c>
      <c r="M348">
        <v>0.79999999999999993</v>
      </c>
    </row>
    <row r="349" spans="1:13" x14ac:dyDescent="0.35">
      <c r="A349" t="s">
        <v>94</v>
      </c>
      <c r="B349" t="s">
        <v>136</v>
      </c>
      <c r="C349" t="s">
        <v>15</v>
      </c>
      <c r="D349" t="s">
        <v>22</v>
      </c>
      <c r="E349" t="s">
        <v>23</v>
      </c>
      <c r="F349">
        <v>32</v>
      </c>
      <c r="G349" t="s">
        <v>100</v>
      </c>
      <c r="H349">
        <v>54</v>
      </c>
      <c r="I349">
        <v>24</v>
      </c>
      <c r="J349">
        <v>3</v>
      </c>
      <c r="K349">
        <v>0.69230769230769229</v>
      </c>
      <c r="L349">
        <v>0.94736842105263164</v>
      </c>
      <c r="M349">
        <v>0.79999999999999993</v>
      </c>
    </row>
    <row r="350" spans="1:13" x14ac:dyDescent="0.35">
      <c r="A350" t="s">
        <v>94</v>
      </c>
      <c r="B350" t="s">
        <v>137</v>
      </c>
      <c r="C350" t="s">
        <v>15</v>
      </c>
      <c r="D350" t="s">
        <v>16</v>
      </c>
      <c r="F350">
        <v>32</v>
      </c>
      <c r="G350" t="s">
        <v>97</v>
      </c>
      <c r="H350">
        <v>922</v>
      </c>
      <c r="I350">
        <v>276</v>
      </c>
      <c r="J350">
        <v>32</v>
      </c>
      <c r="K350">
        <v>0.76961602671118534</v>
      </c>
      <c r="L350">
        <v>0.96645702306079662</v>
      </c>
      <c r="M350">
        <v>0.85687732342007439</v>
      </c>
    </row>
    <row r="351" spans="1:13" x14ac:dyDescent="0.35">
      <c r="A351" t="s">
        <v>94</v>
      </c>
      <c r="B351" t="s">
        <v>137</v>
      </c>
      <c r="C351" t="s">
        <v>15</v>
      </c>
      <c r="D351" t="s">
        <v>18</v>
      </c>
      <c r="F351">
        <v>32</v>
      </c>
      <c r="G351" t="s">
        <v>138</v>
      </c>
      <c r="H351">
        <v>63</v>
      </c>
      <c r="I351">
        <v>457</v>
      </c>
      <c r="J351">
        <v>891</v>
      </c>
      <c r="K351">
        <v>0.1211538461538461</v>
      </c>
      <c r="L351">
        <v>6.6037735849056603E-2</v>
      </c>
      <c r="M351">
        <v>8.54816824966078E-2</v>
      </c>
    </row>
    <row r="352" spans="1:13" x14ac:dyDescent="0.35">
      <c r="A352" t="s">
        <v>94</v>
      </c>
      <c r="B352" t="s">
        <v>137</v>
      </c>
      <c r="C352" t="s">
        <v>15</v>
      </c>
      <c r="D352" t="s">
        <v>20</v>
      </c>
      <c r="E352" t="s">
        <v>21</v>
      </c>
      <c r="F352">
        <v>32</v>
      </c>
      <c r="G352" t="s">
        <v>97</v>
      </c>
      <c r="H352">
        <v>831</v>
      </c>
      <c r="I352">
        <v>125</v>
      </c>
      <c r="J352">
        <v>123</v>
      </c>
      <c r="K352">
        <v>0.86924686192468614</v>
      </c>
      <c r="L352">
        <v>0.87106918238993714</v>
      </c>
      <c r="M352">
        <v>0.87015706806282722</v>
      </c>
    </row>
    <row r="353" spans="1:13" x14ac:dyDescent="0.35">
      <c r="A353" t="s">
        <v>94</v>
      </c>
      <c r="B353" t="s">
        <v>137</v>
      </c>
      <c r="C353" t="s">
        <v>15</v>
      </c>
      <c r="D353" t="s">
        <v>22</v>
      </c>
      <c r="E353" t="s">
        <v>23</v>
      </c>
      <c r="F353">
        <v>32</v>
      </c>
      <c r="G353" t="s">
        <v>97</v>
      </c>
      <c r="H353">
        <v>851</v>
      </c>
      <c r="I353">
        <v>131</v>
      </c>
      <c r="J353">
        <v>103</v>
      </c>
      <c r="K353">
        <v>0.86659877800407337</v>
      </c>
      <c r="L353">
        <v>0.89203354297693915</v>
      </c>
      <c r="M353">
        <v>0.87913223140495866</v>
      </c>
    </row>
    <row r="354" spans="1:13" x14ac:dyDescent="0.35">
      <c r="A354" t="s">
        <v>94</v>
      </c>
      <c r="B354" t="s">
        <v>139</v>
      </c>
      <c r="C354" t="s">
        <v>15</v>
      </c>
      <c r="D354" t="s">
        <v>16</v>
      </c>
      <c r="F354">
        <v>32</v>
      </c>
      <c r="G354" t="s">
        <v>97</v>
      </c>
      <c r="H354">
        <v>819</v>
      </c>
      <c r="I354">
        <v>109</v>
      </c>
      <c r="J354">
        <v>45</v>
      </c>
      <c r="K354">
        <v>0.88254310344827591</v>
      </c>
      <c r="L354">
        <v>0.94791666666666663</v>
      </c>
      <c r="M354">
        <v>0.9140625</v>
      </c>
    </row>
    <row r="355" spans="1:13" x14ac:dyDescent="0.35">
      <c r="A355" t="s">
        <v>94</v>
      </c>
      <c r="B355" t="s">
        <v>139</v>
      </c>
      <c r="C355" t="s">
        <v>15</v>
      </c>
      <c r="D355" t="s">
        <v>18</v>
      </c>
      <c r="F355">
        <v>32</v>
      </c>
      <c r="G355" t="s">
        <v>100</v>
      </c>
      <c r="H355">
        <v>781</v>
      </c>
      <c r="I355">
        <v>221</v>
      </c>
      <c r="J355">
        <v>83</v>
      </c>
      <c r="K355">
        <v>0.779441117764471</v>
      </c>
      <c r="L355">
        <v>0.90393518518518523</v>
      </c>
      <c r="M355">
        <v>0.83708467309753487</v>
      </c>
    </row>
    <row r="356" spans="1:13" x14ac:dyDescent="0.35">
      <c r="A356" t="s">
        <v>94</v>
      </c>
      <c r="B356" t="s">
        <v>139</v>
      </c>
      <c r="C356" t="s">
        <v>15</v>
      </c>
      <c r="D356" t="s">
        <v>20</v>
      </c>
      <c r="E356" t="s">
        <v>21</v>
      </c>
      <c r="F356">
        <v>32</v>
      </c>
      <c r="G356" t="s">
        <v>97</v>
      </c>
      <c r="H356">
        <v>516</v>
      </c>
      <c r="I356">
        <v>40</v>
      </c>
      <c r="J356">
        <v>348</v>
      </c>
      <c r="K356">
        <v>0.92805755395683442</v>
      </c>
      <c r="L356">
        <v>0.59722222222222221</v>
      </c>
      <c r="M356">
        <v>0.72676056338028161</v>
      </c>
    </row>
    <row r="357" spans="1:13" x14ac:dyDescent="0.35">
      <c r="A357" t="s">
        <v>94</v>
      </c>
      <c r="B357" t="s">
        <v>139</v>
      </c>
      <c r="C357" t="s">
        <v>15</v>
      </c>
      <c r="D357" t="s">
        <v>22</v>
      </c>
      <c r="E357" t="s">
        <v>23</v>
      </c>
      <c r="F357">
        <v>32</v>
      </c>
      <c r="G357" t="s">
        <v>97</v>
      </c>
      <c r="H357">
        <v>572</v>
      </c>
      <c r="I357">
        <v>60</v>
      </c>
      <c r="J357">
        <v>292</v>
      </c>
      <c r="K357">
        <v>0.90506329113924056</v>
      </c>
      <c r="L357">
        <v>0.66203703703703709</v>
      </c>
      <c r="M357">
        <v>0.76470588235294112</v>
      </c>
    </row>
    <row r="358" spans="1:13" x14ac:dyDescent="0.35">
      <c r="A358" t="s">
        <v>94</v>
      </c>
      <c r="B358" t="s">
        <v>140</v>
      </c>
      <c r="C358" t="s">
        <v>15</v>
      </c>
      <c r="D358" t="s">
        <v>16</v>
      </c>
      <c r="F358">
        <v>32</v>
      </c>
      <c r="G358" t="s">
        <v>97</v>
      </c>
      <c r="H358">
        <v>91</v>
      </c>
      <c r="I358">
        <v>344</v>
      </c>
      <c r="J358">
        <v>2</v>
      </c>
      <c r="K358">
        <v>0.2091954022988505</v>
      </c>
      <c r="L358">
        <v>0.978494623655914</v>
      </c>
      <c r="M358">
        <v>0.34469696969696972</v>
      </c>
    </row>
    <row r="359" spans="1:13" x14ac:dyDescent="0.35">
      <c r="A359" t="s">
        <v>94</v>
      </c>
      <c r="B359" t="s">
        <v>140</v>
      </c>
      <c r="C359" t="s">
        <v>15</v>
      </c>
      <c r="D359" t="s">
        <v>18</v>
      </c>
      <c r="F359">
        <v>32</v>
      </c>
      <c r="G359" t="s">
        <v>98</v>
      </c>
      <c r="H359">
        <v>91</v>
      </c>
      <c r="I359">
        <v>351</v>
      </c>
      <c r="J359">
        <v>2</v>
      </c>
      <c r="K359">
        <v>0.20588235294117641</v>
      </c>
      <c r="L359">
        <v>0.978494623655914</v>
      </c>
      <c r="M359">
        <v>0.34018691588785049</v>
      </c>
    </row>
    <row r="360" spans="1:13" x14ac:dyDescent="0.35">
      <c r="A360" t="s">
        <v>94</v>
      </c>
      <c r="B360" t="s">
        <v>140</v>
      </c>
      <c r="C360" t="s">
        <v>15</v>
      </c>
      <c r="D360" t="s">
        <v>20</v>
      </c>
      <c r="E360" t="s">
        <v>21</v>
      </c>
      <c r="F360">
        <v>32</v>
      </c>
      <c r="G360" t="s">
        <v>98</v>
      </c>
      <c r="H360">
        <v>92</v>
      </c>
      <c r="I360">
        <v>17</v>
      </c>
      <c r="J360">
        <v>1</v>
      </c>
      <c r="K360">
        <v>0.84403669724770647</v>
      </c>
      <c r="L360">
        <v>0.989247311827957</v>
      </c>
      <c r="M360">
        <v>0.91089108910891081</v>
      </c>
    </row>
    <row r="361" spans="1:13" x14ac:dyDescent="0.35">
      <c r="A361" t="s">
        <v>94</v>
      </c>
      <c r="B361" t="s">
        <v>140</v>
      </c>
      <c r="C361" t="s">
        <v>15</v>
      </c>
      <c r="D361" t="s">
        <v>22</v>
      </c>
      <c r="E361" t="s">
        <v>23</v>
      </c>
      <c r="F361">
        <v>32</v>
      </c>
      <c r="G361" t="s">
        <v>98</v>
      </c>
      <c r="H361">
        <v>92</v>
      </c>
      <c r="I361">
        <v>19</v>
      </c>
      <c r="J361">
        <v>1</v>
      </c>
      <c r="K361">
        <v>0.8288288288288288</v>
      </c>
      <c r="L361">
        <v>0.989247311827957</v>
      </c>
      <c r="M361">
        <v>0.90196078431372539</v>
      </c>
    </row>
    <row r="362" spans="1:13" x14ac:dyDescent="0.35">
      <c r="A362" t="s">
        <v>94</v>
      </c>
      <c r="B362" t="s">
        <v>141</v>
      </c>
      <c r="C362" t="s">
        <v>15</v>
      </c>
      <c r="D362" t="s">
        <v>16</v>
      </c>
      <c r="F362">
        <v>32</v>
      </c>
      <c r="G362" t="s">
        <v>98</v>
      </c>
      <c r="H362">
        <v>563</v>
      </c>
      <c r="I362">
        <v>157</v>
      </c>
      <c r="J362">
        <v>10</v>
      </c>
      <c r="K362">
        <v>0.78194444444444444</v>
      </c>
      <c r="L362">
        <v>0.98254799301919715</v>
      </c>
      <c r="M362">
        <v>0.87084300077339527</v>
      </c>
    </row>
    <row r="363" spans="1:13" x14ac:dyDescent="0.35">
      <c r="A363" t="s">
        <v>94</v>
      </c>
      <c r="B363" t="s">
        <v>141</v>
      </c>
      <c r="C363" t="s">
        <v>15</v>
      </c>
      <c r="D363" t="s">
        <v>18</v>
      </c>
      <c r="F363">
        <v>32</v>
      </c>
      <c r="G363" t="s">
        <v>98</v>
      </c>
      <c r="H363">
        <v>513</v>
      </c>
      <c r="I363">
        <v>10</v>
      </c>
      <c r="J363">
        <v>60</v>
      </c>
      <c r="K363">
        <v>0.98087954110898656</v>
      </c>
      <c r="L363">
        <v>0.89528795811518325</v>
      </c>
      <c r="M363">
        <v>0.93613138686131403</v>
      </c>
    </row>
    <row r="364" spans="1:13" x14ac:dyDescent="0.35">
      <c r="A364" t="s">
        <v>94</v>
      </c>
      <c r="B364" t="s">
        <v>141</v>
      </c>
      <c r="C364" t="s">
        <v>15</v>
      </c>
      <c r="D364" t="s">
        <v>20</v>
      </c>
      <c r="E364" t="s">
        <v>21</v>
      </c>
      <c r="F364">
        <v>32</v>
      </c>
      <c r="G364" t="s">
        <v>98</v>
      </c>
      <c r="H364">
        <v>553</v>
      </c>
      <c r="I364">
        <v>16</v>
      </c>
      <c r="J364">
        <v>20</v>
      </c>
      <c r="K364">
        <v>0.97188049209138838</v>
      </c>
      <c r="L364">
        <v>0.96509598603839442</v>
      </c>
      <c r="M364">
        <v>0.96847635726795078</v>
      </c>
    </row>
    <row r="365" spans="1:13" x14ac:dyDescent="0.35">
      <c r="A365" t="s">
        <v>94</v>
      </c>
      <c r="B365" t="s">
        <v>141</v>
      </c>
      <c r="C365" t="s">
        <v>15</v>
      </c>
      <c r="D365" t="s">
        <v>22</v>
      </c>
      <c r="E365" t="s">
        <v>23</v>
      </c>
      <c r="F365">
        <v>32</v>
      </c>
      <c r="G365" t="s">
        <v>98</v>
      </c>
      <c r="H365">
        <v>556</v>
      </c>
      <c r="I365">
        <v>17</v>
      </c>
      <c r="J365">
        <v>17</v>
      </c>
      <c r="K365">
        <v>0.9703315881326352</v>
      </c>
      <c r="L365">
        <v>0.9703315881326352</v>
      </c>
      <c r="M365">
        <v>0.9703315881326352</v>
      </c>
    </row>
    <row r="366" spans="1:13" x14ac:dyDescent="0.35">
      <c r="A366" t="s">
        <v>94</v>
      </c>
      <c r="B366" t="s">
        <v>142</v>
      </c>
      <c r="C366" t="s">
        <v>15</v>
      </c>
      <c r="D366" t="s">
        <v>16</v>
      </c>
      <c r="F366">
        <v>32</v>
      </c>
      <c r="G366" t="s">
        <v>98</v>
      </c>
      <c r="H366">
        <v>407</v>
      </c>
      <c r="I366">
        <v>77</v>
      </c>
      <c r="J366">
        <v>3</v>
      </c>
      <c r="K366">
        <v>0.84090909090909094</v>
      </c>
      <c r="L366">
        <v>0.9926829268292684</v>
      </c>
      <c r="M366">
        <v>0.91051454138702481</v>
      </c>
    </row>
    <row r="367" spans="1:13" x14ac:dyDescent="0.35">
      <c r="A367" t="s">
        <v>94</v>
      </c>
      <c r="B367" t="s">
        <v>142</v>
      </c>
      <c r="C367" t="s">
        <v>15</v>
      </c>
      <c r="D367" t="s">
        <v>18</v>
      </c>
      <c r="F367">
        <v>32</v>
      </c>
      <c r="G367" t="s">
        <v>98</v>
      </c>
      <c r="H367">
        <v>403</v>
      </c>
      <c r="I367">
        <v>49</v>
      </c>
      <c r="J367">
        <v>7</v>
      </c>
      <c r="K367">
        <v>0.8915929203539823</v>
      </c>
      <c r="L367">
        <v>0.98292682926829278</v>
      </c>
      <c r="M367">
        <v>0.9350348027842228</v>
      </c>
    </row>
    <row r="368" spans="1:13" x14ac:dyDescent="0.35">
      <c r="A368" t="s">
        <v>94</v>
      </c>
      <c r="B368" t="s">
        <v>142</v>
      </c>
      <c r="C368" t="s">
        <v>15</v>
      </c>
      <c r="D368" t="s">
        <v>20</v>
      </c>
      <c r="E368" t="s">
        <v>21</v>
      </c>
      <c r="F368">
        <v>32</v>
      </c>
      <c r="G368" t="s">
        <v>98</v>
      </c>
      <c r="H368">
        <v>397</v>
      </c>
      <c r="I368">
        <v>31</v>
      </c>
      <c r="J368">
        <v>13</v>
      </c>
      <c r="K368">
        <v>0.92757009345794394</v>
      </c>
      <c r="L368">
        <v>0.96829268292682924</v>
      </c>
      <c r="M368">
        <v>0.94749403341288785</v>
      </c>
    </row>
    <row r="369" spans="1:13" x14ac:dyDescent="0.35">
      <c r="A369" t="s">
        <v>94</v>
      </c>
      <c r="B369" t="s">
        <v>142</v>
      </c>
      <c r="C369" t="s">
        <v>15</v>
      </c>
      <c r="D369" t="s">
        <v>22</v>
      </c>
      <c r="E369" t="s">
        <v>23</v>
      </c>
      <c r="F369">
        <v>32</v>
      </c>
      <c r="G369" t="s">
        <v>98</v>
      </c>
      <c r="H369">
        <v>400</v>
      </c>
      <c r="I369">
        <v>34</v>
      </c>
      <c r="J369">
        <v>10</v>
      </c>
      <c r="K369">
        <v>0.92165898617511521</v>
      </c>
      <c r="L369">
        <v>0.97560975609756095</v>
      </c>
      <c r="M369">
        <v>0.94786729857819896</v>
      </c>
    </row>
    <row r="370" spans="1:13" x14ac:dyDescent="0.35">
      <c r="A370" t="s">
        <v>94</v>
      </c>
      <c r="B370" t="s">
        <v>143</v>
      </c>
      <c r="C370" t="s">
        <v>15</v>
      </c>
      <c r="D370" t="s">
        <v>16</v>
      </c>
      <c r="F370">
        <v>32</v>
      </c>
      <c r="G370" t="s">
        <v>98</v>
      </c>
      <c r="H370">
        <v>781</v>
      </c>
      <c r="I370">
        <v>111</v>
      </c>
      <c r="J370">
        <v>16</v>
      </c>
      <c r="K370">
        <v>0.87556053811659196</v>
      </c>
      <c r="L370">
        <v>0.97992471769134237</v>
      </c>
      <c r="M370">
        <v>0.92480757844878625</v>
      </c>
    </row>
    <row r="371" spans="1:13" x14ac:dyDescent="0.35">
      <c r="A371" t="s">
        <v>94</v>
      </c>
      <c r="B371" t="s">
        <v>143</v>
      </c>
      <c r="C371" t="s">
        <v>15</v>
      </c>
      <c r="D371" t="s">
        <v>18</v>
      </c>
      <c r="F371">
        <v>32</v>
      </c>
      <c r="G371" t="s">
        <v>134</v>
      </c>
      <c r="H371">
        <v>452</v>
      </c>
      <c r="I371">
        <v>2582</v>
      </c>
      <c r="J371">
        <v>345</v>
      </c>
      <c r="K371">
        <v>0.14897824653922209</v>
      </c>
      <c r="L371">
        <v>0.56712672521957341</v>
      </c>
      <c r="M371">
        <v>0.23596972069955621</v>
      </c>
    </row>
    <row r="372" spans="1:13" x14ac:dyDescent="0.35">
      <c r="A372" t="s">
        <v>94</v>
      </c>
      <c r="B372" t="s">
        <v>143</v>
      </c>
      <c r="C372" t="s">
        <v>15</v>
      </c>
      <c r="D372" t="s">
        <v>20</v>
      </c>
      <c r="E372" t="s">
        <v>21</v>
      </c>
      <c r="F372">
        <v>32</v>
      </c>
      <c r="G372" t="s">
        <v>98</v>
      </c>
      <c r="H372">
        <v>744</v>
      </c>
      <c r="I372">
        <v>28</v>
      </c>
      <c r="J372">
        <v>53</v>
      </c>
      <c r="K372">
        <v>0.9637305699481864</v>
      </c>
      <c r="L372">
        <v>0.933500627352572</v>
      </c>
      <c r="M372">
        <v>0.94837476099426399</v>
      </c>
    </row>
    <row r="373" spans="1:13" x14ac:dyDescent="0.35">
      <c r="A373" t="s">
        <v>94</v>
      </c>
      <c r="B373" t="s">
        <v>143</v>
      </c>
      <c r="C373" t="s">
        <v>15</v>
      </c>
      <c r="D373" t="s">
        <v>22</v>
      </c>
      <c r="E373" t="s">
        <v>23</v>
      </c>
      <c r="F373">
        <v>32</v>
      </c>
      <c r="G373" t="s">
        <v>98</v>
      </c>
      <c r="H373">
        <v>753</v>
      </c>
      <c r="I373">
        <v>32</v>
      </c>
      <c r="J373">
        <v>44</v>
      </c>
      <c r="K373">
        <v>0.95923566878980882</v>
      </c>
      <c r="L373">
        <v>0.94479297365119197</v>
      </c>
      <c r="M373">
        <v>0.95195954487989876</v>
      </c>
    </row>
    <row r="374" spans="1:13" x14ac:dyDescent="0.35">
      <c r="A374" t="s">
        <v>94</v>
      </c>
      <c r="B374" t="s">
        <v>144</v>
      </c>
      <c r="C374" t="s">
        <v>15</v>
      </c>
      <c r="D374" t="s">
        <v>16</v>
      </c>
      <c r="F374">
        <v>32</v>
      </c>
      <c r="G374" t="s">
        <v>108</v>
      </c>
      <c r="H374">
        <v>282</v>
      </c>
      <c r="I374">
        <v>280</v>
      </c>
      <c r="J374">
        <v>24</v>
      </c>
      <c r="K374">
        <v>0.50177935943060503</v>
      </c>
      <c r="L374">
        <v>0.92156862745098045</v>
      </c>
      <c r="M374">
        <v>0.64976958525345618</v>
      </c>
    </row>
    <row r="375" spans="1:13" x14ac:dyDescent="0.35">
      <c r="A375" t="s">
        <v>94</v>
      </c>
      <c r="B375" t="s">
        <v>144</v>
      </c>
      <c r="C375" t="s">
        <v>15</v>
      </c>
      <c r="D375" t="s">
        <v>18</v>
      </c>
      <c r="F375">
        <v>32</v>
      </c>
      <c r="G375" t="s">
        <v>98</v>
      </c>
      <c r="H375">
        <v>295</v>
      </c>
      <c r="I375">
        <v>69</v>
      </c>
      <c r="J375">
        <v>11</v>
      </c>
      <c r="K375">
        <v>0.81043956043956045</v>
      </c>
      <c r="L375">
        <v>0.96405228758169936</v>
      </c>
      <c r="M375">
        <v>0.88059701492537312</v>
      </c>
    </row>
    <row r="376" spans="1:13" x14ac:dyDescent="0.35">
      <c r="A376" t="s">
        <v>94</v>
      </c>
      <c r="B376" t="s">
        <v>144</v>
      </c>
      <c r="C376" t="s">
        <v>15</v>
      </c>
      <c r="D376" t="s">
        <v>20</v>
      </c>
      <c r="E376" t="s">
        <v>21</v>
      </c>
      <c r="F376">
        <v>32</v>
      </c>
      <c r="G376" t="s">
        <v>97</v>
      </c>
      <c r="H376">
        <v>295</v>
      </c>
      <c r="I376">
        <v>62</v>
      </c>
      <c r="J376">
        <v>11</v>
      </c>
      <c r="K376">
        <v>0.8263305322128851</v>
      </c>
      <c r="L376">
        <v>0.96405228758169936</v>
      </c>
      <c r="M376">
        <v>0.88989441930618407</v>
      </c>
    </row>
    <row r="377" spans="1:13" x14ac:dyDescent="0.35">
      <c r="A377" t="s">
        <v>94</v>
      </c>
      <c r="B377" t="s">
        <v>144</v>
      </c>
      <c r="C377" t="s">
        <v>15</v>
      </c>
      <c r="D377" t="s">
        <v>22</v>
      </c>
      <c r="E377" t="s">
        <v>23</v>
      </c>
      <c r="F377">
        <v>32</v>
      </c>
      <c r="G377" t="s">
        <v>97</v>
      </c>
      <c r="H377">
        <v>296</v>
      </c>
      <c r="I377">
        <v>69</v>
      </c>
      <c r="J377">
        <v>10</v>
      </c>
      <c r="K377">
        <v>0.81095890410958904</v>
      </c>
      <c r="L377">
        <v>0.96732026143790839</v>
      </c>
      <c r="M377">
        <v>0.8822652757078987</v>
      </c>
    </row>
    <row r="378" spans="1:13" x14ac:dyDescent="0.35">
      <c r="A378" t="s">
        <v>94</v>
      </c>
      <c r="B378" t="s">
        <v>145</v>
      </c>
      <c r="C378" t="s">
        <v>15</v>
      </c>
      <c r="D378" t="s">
        <v>16</v>
      </c>
      <c r="F378">
        <v>32</v>
      </c>
      <c r="G378" t="s">
        <v>98</v>
      </c>
      <c r="H378">
        <v>1165</v>
      </c>
      <c r="I378">
        <v>103</v>
      </c>
      <c r="J378">
        <v>59</v>
      </c>
      <c r="K378">
        <v>0.91876971608832803</v>
      </c>
      <c r="L378">
        <v>0.95179738562091498</v>
      </c>
      <c r="M378">
        <v>0.93499197431781678</v>
      </c>
    </row>
    <row r="379" spans="1:13" x14ac:dyDescent="0.35">
      <c r="A379" t="s">
        <v>94</v>
      </c>
      <c r="B379" t="s">
        <v>145</v>
      </c>
      <c r="C379" t="s">
        <v>15</v>
      </c>
      <c r="D379" t="s">
        <v>18</v>
      </c>
      <c r="F379">
        <v>32</v>
      </c>
      <c r="G379" t="s">
        <v>98</v>
      </c>
      <c r="H379">
        <v>1092</v>
      </c>
      <c r="I379">
        <v>64</v>
      </c>
      <c r="J379">
        <v>132</v>
      </c>
      <c r="K379">
        <v>0.94463667820069197</v>
      </c>
      <c r="L379">
        <v>0.89215686274509809</v>
      </c>
      <c r="M379">
        <v>0.91764705882352959</v>
      </c>
    </row>
    <row r="380" spans="1:13" x14ac:dyDescent="0.35">
      <c r="A380" t="s">
        <v>94</v>
      </c>
      <c r="B380" t="s">
        <v>145</v>
      </c>
      <c r="C380" t="s">
        <v>15</v>
      </c>
      <c r="D380" t="s">
        <v>20</v>
      </c>
      <c r="E380" t="s">
        <v>21</v>
      </c>
      <c r="F380">
        <v>32</v>
      </c>
      <c r="G380" t="s">
        <v>98</v>
      </c>
      <c r="H380">
        <v>785</v>
      </c>
      <c r="I380">
        <v>32</v>
      </c>
      <c r="J380">
        <v>439</v>
      </c>
      <c r="K380">
        <v>0.96083231334149322</v>
      </c>
      <c r="L380">
        <v>0.6413398692810458</v>
      </c>
      <c r="M380">
        <v>0.76923076923076927</v>
      </c>
    </row>
    <row r="381" spans="1:13" x14ac:dyDescent="0.35">
      <c r="A381" t="s">
        <v>94</v>
      </c>
      <c r="B381" t="s">
        <v>145</v>
      </c>
      <c r="C381" t="s">
        <v>15</v>
      </c>
      <c r="D381" t="s">
        <v>22</v>
      </c>
      <c r="E381" t="s">
        <v>23</v>
      </c>
      <c r="F381">
        <v>32</v>
      </c>
      <c r="G381" t="s">
        <v>98</v>
      </c>
      <c r="H381">
        <v>855</v>
      </c>
      <c r="I381">
        <v>36</v>
      </c>
      <c r="J381">
        <v>369</v>
      </c>
      <c r="K381">
        <v>0.95959595959595956</v>
      </c>
      <c r="L381">
        <v>0.69852941176470584</v>
      </c>
      <c r="M381">
        <v>0.80851063829787229</v>
      </c>
    </row>
    <row r="382" spans="1:13" x14ac:dyDescent="0.35">
      <c r="A382" t="s">
        <v>94</v>
      </c>
      <c r="B382" t="s">
        <v>146</v>
      </c>
      <c r="C382" t="s">
        <v>15</v>
      </c>
      <c r="D382" t="s">
        <v>16</v>
      </c>
      <c r="F382">
        <v>32</v>
      </c>
      <c r="G382" t="s">
        <v>100</v>
      </c>
      <c r="H382">
        <v>305</v>
      </c>
      <c r="I382">
        <v>183</v>
      </c>
      <c r="J382">
        <v>10</v>
      </c>
      <c r="K382">
        <v>0.625</v>
      </c>
      <c r="L382">
        <v>0.96825396825396837</v>
      </c>
      <c r="M382">
        <v>0.759651307596513</v>
      </c>
    </row>
    <row r="383" spans="1:13" x14ac:dyDescent="0.35">
      <c r="A383" t="s">
        <v>94</v>
      </c>
      <c r="B383" t="s">
        <v>146</v>
      </c>
      <c r="C383" t="s">
        <v>15</v>
      </c>
      <c r="D383" t="s">
        <v>18</v>
      </c>
      <c r="F383">
        <v>32</v>
      </c>
      <c r="G383" t="s">
        <v>98</v>
      </c>
      <c r="H383">
        <v>306</v>
      </c>
      <c r="I383">
        <v>42</v>
      </c>
      <c r="J383">
        <v>9</v>
      </c>
      <c r="K383">
        <v>0.87931034482758619</v>
      </c>
      <c r="L383">
        <v>0.97142857142857142</v>
      </c>
      <c r="M383">
        <v>0.92307692307692302</v>
      </c>
    </row>
    <row r="384" spans="1:13" x14ac:dyDescent="0.35">
      <c r="A384" t="s">
        <v>94</v>
      </c>
      <c r="B384" t="s">
        <v>146</v>
      </c>
      <c r="C384" t="s">
        <v>15</v>
      </c>
      <c r="D384" t="s">
        <v>20</v>
      </c>
      <c r="E384" t="s">
        <v>21</v>
      </c>
      <c r="F384">
        <v>32</v>
      </c>
      <c r="G384" t="s">
        <v>97</v>
      </c>
      <c r="H384">
        <v>305</v>
      </c>
      <c r="I384">
        <v>37</v>
      </c>
      <c r="J384">
        <v>10</v>
      </c>
      <c r="K384">
        <v>0.89181286549707606</v>
      </c>
      <c r="L384">
        <v>0.96825396825396837</v>
      </c>
      <c r="M384">
        <v>0.92846270928462704</v>
      </c>
    </row>
    <row r="385" spans="1:13" x14ac:dyDescent="0.35">
      <c r="A385" t="s">
        <v>94</v>
      </c>
      <c r="B385" t="s">
        <v>146</v>
      </c>
      <c r="C385" t="s">
        <v>15</v>
      </c>
      <c r="D385" t="s">
        <v>22</v>
      </c>
      <c r="E385" t="s">
        <v>23</v>
      </c>
      <c r="F385">
        <v>32</v>
      </c>
      <c r="G385" t="s">
        <v>98</v>
      </c>
      <c r="H385">
        <v>305</v>
      </c>
      <c r="I385">
        <v>37</v>
      </c>
      <c r="J385">
        <v>10</v>
      </c>
      <c r="K385">
        <v>0.89181286549707606</v>
      </c>
      <c r="L385">
        <v>0.96825396825396837</v>
      </c>
      <c r="M385">
        <v>0.92846270928462704</v>
      </c>
    </row>
    <row r="386" spans="1:13" x14ac:dyDescent="0.35">
      <c r="A386" t="s">
        <v>94</v>
      </c>
      <c r="B386" t="s">
        <v>147</v>
      </c>
      <c r="C386" t="s">
        <v>15</v>
      </c>
      <c r="D386" t="s">
        <v>16</v>
      </c>
      <c r="F386">
        <v>32</v>
      </c>
      <c r="G386" t="s">
        <v>98</v>
      </c>
      <c r="H386">
        <v>1026</v>
      </c>
      <c r="I386">
        <v>157</v>
      </c>
      <c r="J386">
        <v>91</v>
      </c>
      <c r="K386">
        <v>0.86728655959425194</v>
      </c>
      <c r="L386">
        <v>0.91853178155774395</v>
      </c>
      <c r="M386">
        <v>0.89217391304347826</v>
      </c>
    </row>
    <row r="387" spans="1:13" x14ac:dyDescent="0.35">
      <c r="A387" t="s">
        <v>94</v>
      </c>
      <c r="B387" t="s">
        <v>147</v>
      </c>
      <c r="C387" t="s">
        <v>15</v>
      </c>
      <c r="D387" t="s">
        <v>18</v>
      </c>
      <c r="F387">
        <v>32</v>
      </c>
      <c r="G387" t="s">
        <v>97</v>
      </c>
      <c r="H387">
        <v>1012</v>
      </c>
      <c r="I387">
        <v>196</v>
      </c>
      <c r="J387">
        <v>105</v>
      </c>
      <c r="K387">
        <v>0.83774834437086088</v>
      </c>
      <c r="L387">
        <v>0.90599820948970455</v>
      </c>
      <c r="M387">
        <v>0.8705376344086021</v>
      </c>
    </row>
    <row r="388" spans="1:13" x14ac:dyDescent="0.35">
      <c r="A388" t="s">
        <v>94</v>
      </c>
      <c r="B388" t="s">
        <v>147</v>
      </c>
      <c r="C388" t="s">
        <v>15</v>
      </c>
      <c r="D388" t="s">
        <v>20</v>
      </c>
      <c r="E388" t="s">
        <v>21</v>
      </c>
      <c r="F388">
        <v>32</v>
      </c>
      <c r="G388" t="s">
        <v>98</v>
      </c>
      <c r="H388">
        <v>570</v>
      </c>
      <c r="I388">
        <v>25</v>
      </c>
      <c r="J388">
        <v>547</v>
      </c>
      <c r="K388">
        <v>0.95798319327731096</v>
      </c>
      <c r="L388">
        <v>0.51029543419874668</v>
      </c>
      <c r="M388">
        <v>0.66588785046728982</v>
      </c>
    </row>
    <row r="389" spans="1:13" x14ac:dyDescent="0.35">
      <c r="A389" t="s">
        <v>94</v>
      </c>
      <c r="B389" t="s">
        <v>147</v>
      </c>
      <c r="C389" t="s">
        <v>15</v>
      </c>
      <c r="D389" t="s">
        <v>22</v>
      </c>
      <c r="E389" t="s">
        <v>23</v>
      </c>
      <c r="F389">
        <v>32</v>
      </c>
      <c r="G389" t="s">
        <v>98</v>
      </c>
      <c r="H389">
        <v>625</v>
      </c>
      <c r="I389">
        <v>34</v>
      </c>
      <c r="J389">
        <v>492</v>
      </c>
      <c r="K389">
        <v>0.94840667678300439</v>
      </c>
      <c r="L389">
        <v>0.55953446732318712</v>
      </c>
      <c r="M389">
        <v>0.7038288288288288</v>
      </c>
    </row>
    <row r="390" spans="1:13" x14ac:dyDescent="0.35">
      <c r="A390" t="s">
        <v>94</v>
      </c>
      <c r="B390" t="s">
        <v>148</v>
      </c>
      <c r="C390" t="s">
        <v>15</v>
      </c>
      <c r="D390" t="s">
        <v>16</v>
      </c>
      <c r="F390">
        <v>32</v>
      </c>
      <c r="G390" t="s">
        <v>98</v>
      </c>
      <c r="H390">
        <v>514</v>
      </c>
      <c r="I390">
        <v>102</v>
      </c>
      <c r="J390">
        <v>10</v>
      </c>
      <c r="K390">
        <v>0.83441558441558439</v>
      </c>
      <c r="L390">
        <v>0.98091603053435117</v>
      </c>
      <c r="M390">
        <v>0.90175438596491242</v>
      </c>
    </row>
    <row r="391" spans="1:13" x14ac:dyDescent="0.35">
      <c r="A391" t="s">
        <v>94</v>
      </c>
      <c r="B391" t="s">
        <v>148</v>
      </c>
      <c r="C391" t="s">
        <v>15</v>
      </c>
      <c r="D391" t="s">
        <v>18</v>
      </c>
      <c r="F391">
        <v>32</v>
      </c>
      <c r="G391" t="s">
        <v>97</v>
      </c>
      <c r="H391">
        <v>502</v>
      </c>
      <c r="I391">
        <v>82</v>
      </c>
      <c r="J391">
        <v>22</v>
      </c>
      <c r="K391">
        <v>0.8595890410958904</v>
      </c>
      <c r="L391">
        <v>0.95801526717557239</v>
      </c>
      <c r="M391">
        <v>0.90613718411552358</v>
      </c>
    </row>
    <row r="392" spans="1:13" x14ac:dyDescent="0.35">
      <c r="A392" t="s">
        <v>94</v>
      </c>
      <c r="B392" t="s">
        <v>148</v>
      </c>
      <c r="C392" t="s">
        <v>15</v>
      </c>
      <c r="D392" t="s">
        <v>20</v>
      </c>
      <c r="E392" t="s">
        <v>21</v>
      </c>
      <c r="F392">
        <v>32</v>
      </c>
      <c r="G392" t="s">
        <v>98</v>
      </c>
      <c r="H392">
        <v>507</v>
      </c>
      <c r="I392">
        <v>34</v>
      </c>
      <c r="J392">
        <v>17</v>
      </c>
      <c r="K392">
        <v>0.93715341959334564</v>
      </c>
      <c r="L392">
        <v>0.96755725190839681</v>
      </c>
      <c r="M392">
        <v>0.95211267605633798</v>
      </c>
    </row>
    <row r="393" spans="1:13" x14ac:dyDescent="0.35">
      <c r="A393" t="s">
        <v>94</v>
      </c>
      <c r="B393" t="s">
        <v>148</v>
      </c>
      <c r="C393" t="s">
        <v>15</v>
      </c>
      <c r="D393" t="s">
        <v>22</v>
      </c>
      <c r="E393" t="s">
        <v>23</v>
      </c>
      <c r="F393">
        <v>32</v>
      </c>
      <c r="G393" t="s">
        <v>98</v>
      </c>
      <c r="H393">
        <v>509</v>
      </c>
      <c r="I393">
        <v>38</v>
      </c>
      <c r="J393">
        <v>15</v>
      </c>
      <c r="K393">
        <v>0.93053016453382076</v>
      </c>
      <c r="L393">
        <v>0.97137404580152675</v>
      </c>
      <c r="M393">
        <v>0.95051353874883282</v>
      </c>
    </row>
    <row r="394" spans="1:13" x14ac:dyDescent="0.35">
      <c r="A394" t="s">
        <v>94</v>
      </c>
      <c r="B394" t="s">
        <v>149</v>
      </c>
      <c r="C394" t="s">
        <v>15</v>
      </c>
      <c r="D394" t="s">
        <v>16</v>
      </c>
      <c r="F394">
        <v>32</v>
      </c>
      <c r="G394" t="s">
        <v>108</v>
      </c>
      <c r="H394">
        <v>300</v>
      </c>
      <c r="I394">
        <v>348</v>
      </c>
      <c r="J394">
        <v>51</v>
      </c>
      <c r="K394">
        <v>0.46296296296296291</v>
      </c>
      <c r="L394">
        <v>0.85470085470085466</v>
      </c>
      <c r="M394">
        <v>0.60060060060060061</v>
      </c>
    </row>
    <row r="395" spans="1:13" x14ac:dyDescent="0.35">
      <c r="A395" t="s">
        <v>94</v>
      </c>
      <c r="B395" t="s">
        <v>149</v>
      </c>
      <c r="C395" t="s">
        <v>15</v>
      </c>
      <c r="D395" t="s">
        <v>18</v>
      </c>
      <c r="F395">
        <v>32</v>
      </c>
      <c r="G395" t="s">
        <v>98</v>
      </c>
      <c r="H395">
        <v>320</v>
      </c>
      <c r="I395">
        <v>46</v>
      </c>
      <c r="J395">
        <v>31</v>
      </c>
      <c r="K395">
        <v>0.87431693989071035</v>
      </c>
      <c r="L395">
        <v>0.91168091168091159</v>
      </c>
      <c r="M395">
        <v>0.89260808926080881</v>
      </c>
    </row>
    <row r="396" spans="1:13" x14ac:dyDescent="0.35">
      <c r="A396" t="s">
        <v>94</v>
      </c>
      <c r="B396" t="s">
        <v>149</v>
      </c>
      <c r="C396" t="s">
        <v>15</v>
      </c>
      <c r="D396" t="s">
        <v>20</v>
      </c>
      <c r="E396" t="s">
        <v>21</v>
      </c>
      <c r="F396">
        <v>32</v>
      </c>
      <c r="G396" t="s">
        <v>98</v>
      </c>
      <c r="H396">
        <v>324</v>
      </c>
      <c r="I396">
        <v>63</v>
      </c>
      <c r="J396">
        <v>27</v>
      </c>
      <c r="K396">
        <v>0.83720930232558144</v>
      </c>
      <c r="L396">
        <v>0.92307692307692324</v>
      </c>
      <c r="M396">
        <v>0.87804878048780499</v>
      </c>
    </row>
    <row r="397" spans="1:13" x14ac:dyDescent="0.35">
      <c r="A397" t="s">
        <v>94</v>
      </c>
      <c r="B397" t="s">
        <v>149</v>
      </c>
      <c r="C397" t="s">
        <v>15</v>
      </c>
      <c r="D397" t="s">
        <v>22</v>
      </c>
      <c r="E397" t="s">
        <v>23</v>
      </c>
      <c r="F397">
        <v>32</v>
      </c>
      <c r="G397" t="s">
        <v>98</v>
      </c>
      <c r="H397">
        <v>325</v>
      </c>
      <c r="I397">
        <v>69</v>
      </c>
      <c r="J397">
        <v>26</v>
      </c>
      <c r="K397">
        <v>0.82487309644670048</v>
      </c>
      <c r="L397">
        <v>0.92592592592592604</v>
      </c>
      <c r="M397">
        <v>0.87248322147651003</v>
      </c>
    </row>
    <row r="398" spans="1:13" x14ac:dyDescent="0.35">
      <c r="A398" t="s">
        <v>94</v>
      </c>
      <c r="B398" t="s">
        <v>150</v>
      </c>
      <c r="C398" t="s">
        <v>15</v>
      </c>
      <c r="D398" t="s">
        <v>16</v>
      </c>
      <c r="F398">
        <v>32</v>
      </c>
      <c r="G398" t="s">
        <v>106</v>
      </c>
      <c r="H398">
        <v>431</v>
      </c>
      <c r="I398">
        <v>349</v>
      </c>
      <c r="J398">
        <v>31</v>
      </c>
      <c r="K398">
        <v>0.5525641025641026</v>
      </c>
      <c r="L398">
        <v>0.93290043290043279</v>
      </c>
      <c r="M398">
        <v>0.69404186795491141</v>
      </c>
    </row>
    <row r="399" spans="1:13" x14ac:dyDescent="0.35">
      <c r="A399" t="s">
        <v>94</v>
      </c>
      <c r="B399" t="s">
        <v>150</v>
      </c>
      <c r="C399" t="s">
        <v>15</v>
      </c>
      <c r="D399" t="s">
        <v>18</v>
      </c>
      <c r="F399">
        <v>32</v>
      </c>
      <c r="G399" t="s">
        <v>98</v>
      </c>
      <c r="H399">
        <v>439</v>
      </c>
      <c r="I399">
        <v>51</v>
      </c>
      <c r="J399">
        <v>23</v>
      </c>
      <c r="K399">
        <v>0.89591836734693875</v>
      </c>
      <c r="L399">
        <v>0.95021645021645018</v>
      </c>
      <c r="M399">
        <v>0.92226890756302515</v>
      </c>
    </row>
    <row r="400" spans="1:13" x14ac:dyDescent="0.35">
      <c r="A400" t="s">
        <v>94</v>
      </c>
      <c r="B400" t="s">
        <v>150</v>
      </c>
      <c r="C400" t="s">
        <v>15</v>
      </c>
      <c r="D400" t="s">
        <v>20</v>
      </c>
      <c r="E400" t="s">
        <v>21</v>
      </c>
      <c r="F400">
        <v>32</v>
      </c>
      <c r="G400" t="s">
        <v>97</v>
      </c>
      <c r="H400">
        <v>445</v>
      </c>
      <c r="I400">
        <v>77</v>
      </c>
      <c r="J400">
        <v>17</v>
      </c>
      <c r="K400">
        <v>0.85249042145593867</v>
      </c>
      <c r="L400">
        <v>0.96320346320346317</v>
      </c>
      <c r="M400">
        <v>0.90447154471544722</v>
      </c>
    </row>
    <row r="401" spans="1:13" x14ac:dyDescent="0.35">
      <c r="A401" t="s">
        <v>94</v>
      </c>
      <c r="B401" t="s">
        <v>150</v>
      </c>
      <c r="C401" t="s">
        <v>15</v>
      </c>
      <c r="D401" t="s">
        <v>22</v>
      </c>
      <c r="E401" t="s">
        <v>23</v>
      </c>
      <c r="F401">
        <v>32</v>
      </c>
      <c r="G401" t="s">
        <v>97</v>
      </c>
      <c r="H401">
        <v>448</v>
      </c>
      <c r="I401">
        <v>89</v>
      </c>
      <c r="J401">
        <v>14</v>
      </c>
      <c r="K401">
        <v>0.83426443202979517</v>
      </c>
      <c r="L401">
        <v>0.96969696969696961</v>
      </c>
      <c r="M401">
        <v>0.89689689689689689</v>
      </c>
    </row>
    <row r="402" spans="1:13" x14ac:dyDescent="0.35">
      <c r="A402" t="s">
        <v>94</v>
      </c>
      <c r="B402" t="s">
        <v>151</v>
      </c>
      <c r="C402" t="s">
        <v>15</v>
      </c>
      <c r="D402" t="s">
        <v>16</v>
      </c>
      <c r="F402">
        <v>32</v>
      </c>
      <c r="G402" t="s">
        <v>98</v>
      </c>
      <c r="H402">
        <v>1226</v>
      </c>
      <c r="I402">
        <v>45</v>
      </c>
      <c r="J402">
        <v>10</v>
      </c>
      <c r="K402">
        <v>0.96459480723839497</v>
      </c>
      <c r="L402">
        <v>0.99190938511326865</v>
      </c>
      <c r="M402">
        <v>0.97806142800159557</v>
      </c>
    </row>
    <row r="403" spans="1:13" x14ac:dyDescent="0.35">
      <c r="A403" t="s">
        <v>94</v>
      </c>
      <c r="B403" t="s">
        <v>151</v>
      </c>
      <c r="C403" t="s">
        <v>15</v>
      </c>
      <c r="D403" t="s">
        <v>18</v>
      </c>
      <c r="F403">
        <v>32</v>
      </c>
      <c r="G403" t="s">
        <v>98</v>
      </c>
      <c r="H403">
        <v>906</v>
      </c>
      <c r="I403">
        <v>18</v>
      </c>
      <c r="J403">
        <v>330</v>
      </c>
      <c r="K403">
        <v>0.98051948051948057</v>
      </c>
      <c r="L403">
        <v>0.73300970873786409</v>
      </c>
      <c r="M403">
        <v>0.83888888888888891</v>
      </c>
    </row>
    <row r="404" spans="1:13" x14ac:dyDescent="0.35">
      <c r="A404" t="s">
        <v>94</v>
      </c>
      <c r="B404" t="s">
        <v>151</v>
      </c>
      <c r="C404" t="s">
        <v>15</v>
      </c>
      <c r="D404" t="s">
        <v>20</v>
      </c>
      <c r="E404" t="s">
        <v>21</v>
      </c>
      <c r="F404">
        <v>32</v>
      </c>
      <c r="G404" t="s">
        <v>98</v>
      </c>
      <c r="H404">
        <v>1203</v>
      </c>
      <c r="I404">
        <v>35</v>
      </c>
      <c r="J404">
        <v>33</v>
      </c>
      <c r="K404">
        <v>0.97172859450726978</v>
      </c>
      <c r="L404">
        <v>0.97330097087378642</v>
      </c>
      <c r="M404">
        <v>0.97251414713015361</v>
      </c>
    </row>
    <row r="405" spans="1:13" x14ac:dyDescent="0.35">
      <c r="A405" t="s">
        <v>94</v>
      </c>
      <c r="B405" t="s">
        <v>151</v>
      </c>
      <c r="C405" t="s">
        <v>15</v>
      </c>
      <c r="D405" t="s">
        <v>22</v>
      </c>
      <c r="E405" t="s">
        <v>23</v>
      </c>
      <c r="F405">
        <v>32</v>
      </c>
      <c r="G405" t="s">
        <v>98</v>
      </c>
      <c r="H405">
        <v>1212</v>
      </c>
      <c r="I405">
        <v>38</v>
      </c>
      <c r="J405">
        <v>24</v>
      </c>
      <c r="K405">
        <v>0.96960000000000002</v>
      </c>
      <c r="L405">
        <v>0.98058252427184478</v>
      </c>
      <c r="M405">
        <v>0.97506033789219637</v>
      </c>
    </row>
    <row r="406" spans="1:13" x14ac:dyDescent="0.35">
      <c r="A406" t="s">
        <v>94</v>
      </c>
      <c r="B406" t="s">
        <v>152</v>
      </c>
      <c r="C406" t="s">
        <v>15</v>
      </c>
      <c r="D406" t="s">
        <v>16</v>
      </c>
      <c r="F406">
        <v>32</v>
      </c>
      <c r="G406" t="s">
        <v>97</v>
      </c>
      <c r="H406">
        <v>1863</v>
      </c>
      <c r="I406">
        <v>5</v>
      </c>
      <c r="J406">
        <v>6</v>
      </c>
      <c r="K406">
        <v>0.99732334047109195</v>
      </c>
      <c r="L406">
        <v>0.9967897271268058</v>
      </c>
      <c r="M406">
        <v>0.99705646240299717</v>
      </c>
    </row>
    <row r="407" spans="1:13" x14ac:dyDescent="0.35">
      <c r="A407" t="s">
        <v>94</v>
      </c>
      <c r="B407" t="s">
        <v>152</v>
      </c>
      <c r="C407" t="s">
        <v>15</v>
      </c>
      <c r="D407" t="s">
        <v>18</v>
      </c>
      <c r="F407">
        <v>32</v>
      </c>
      <c r="G407" t="s">
        <v>97</v>
      </c>
      <c r="H407">
        <v>1862</v>
      </c>
      <c r="I407">
        <v>18</v>
      </c>
      <c r="J407">
        <v>7</v>
      </c>
      <c r="K407">
        <v>0.99042553191489358</v>
      </c>
      <c r="L407">
        <v>0.99625468164793995</v>
      </c>
      <c r="M407">
        <v>0.99333155508135496</v>
      </c>
    </row>
    <row r="408" spans="1:13" x14ac:dyDescent="0.35">
      <c r="A408" t="s">
        <v>94</v>
      </c>
      <c r="B408" t="s">
        <v>152</v>
      </c>
      <c r="C408" t="s">
        <v>15</v>
      </c>
      <c r="D408" t="s">
        <v>20</v>
      </c>
      <c r="E408" t="s">
        <v>21</v>
      </c>
      <c r="F408">
        <v>32</v>
      </c>
      <c r="G408" t="s">
        <v>97</v>
      </c>
      <c r="H408">
        <v>1827</v>
      </c>
      <c r="I408">
        <v>2</v>
      </c>
      <c r="J408">
        <v>42</v>
      </c>
      <c r="K408">
        <v>0.99890650628758881</v>
      </c>
      <c r="L408">
        <v>0.97752808988764039</v>
      </c>
      <c r="M408">
        <v>0.98810167658193615</v>
      </c>
    </row>
    <row r="409" spans="1:13" x14ac:dyDescent="0.35">
      <c r="A409" t="s">
        <v>94</v>
      </c>
      <c r="B409" t="s">
        <v>152</v>
      </c>
      <c r="C409" t="s">
        <v>15</v>
      </c>
      <c r="D409" t="s">
        <v>22</v>
      </c>
      <c r="E409" t="s">
        <v>23</v>
      </c>
      <c r="F409">
        <v>32</v>
      </c>
      <c r="G409" t="s">
        <v>97</v>
      </c>
      <c r="H409">
        <v>1849</v>
      </c>
      <c r="I409">
        <v>1</v>
      </c>
      <c r="J409">
        <v>20</v>
      </c>
      <c r="K409">
        <v>0.99945945945945958</v>
      </c>
      <c r="L409">
        <v>0.98929909042268604</v>
      </c>
      <c r="M409">
        <v>0.99435332078515715</v>
      </c>
    </row>
    <row r="410" spans="1:13" x14ac:dyDescent="0.35">
      <c r="A410" t="s">
        <v>94</v>
      </c>
      <c r="B410" t="s">
        <v>153</v>
      </c>
      <c r="C410" t="s">
        <v>15</v>
      </c>
      <c r="D410" t="s">
        <v>16</v>
      </c>
      <c r="F410">
        <v>32</v>
      </c>
      <c r="G410" t="s">
        <v>98</v>
      </c>
      <c r="H410">
        <v>1923</v>
      </c>
      <c r="I410">
        <v>25</v>
      </c>
      <c r="J410">
        <v>12</v>
      </c>
      <c r="K410">
        <v>0.98716632443531838</v>
      </c>
      <c r="L410">
        <v>0.99379844961240305</v>
      </c>
      <c r="M410">
        <v>0.99047128508884885</v>
      </c>
    </row>
    <row r="411" spans="1:13" x14ac:dyDescent="0.35">
      <c r="A411" t="s">
        <v>94</v>
      </c>
      <c r="B411" t="s">
        <v>153</v>
      </c>
      <c r="C411" t="s">
        <v>15</v>
      </c>
      <c r="D411" t="s">
        <v>18</v>
      </c>
      <c r="F411">
        <v>32</v>
      </c>
      <c r="G411" t="s">
        <v>98</v>
      </c>
      <c r="H411">
        <v>1923</v>
      </c>
      <c r="I411">
        <v>25</v>
      </c>
      <c r="J411">
        <v>12</v>
      </c>
      <c r="K411">
        <v>0.98716632443531838</v>
      </c>
      <c r="L411">
        <v>0.99379844961240305</v>
      </c>
      <c r="M411">
        <v>0.99047128508884885</v>
      </c>
    </row>
    <row r="412" spans="1:13" x14ac:dyDescent="0.35">
      <c r="A412" t="s">
        <v>94</v>
      </c>
      <c r="B412" t="s">
        <v>153</v>
      </c>
      <c r="C412" t="s">
        <v>15</v>
      </c>
      <c r="D412" t="s">
        <v>20</v>
      </c>
      <c r="E412" t="s">
        <v>21</v>
      </c>
      <c r="F412">
        <v>32</v>
      </c>
      <c r="G412" t="s">
        <v>98</v>
      </c>
      <c r="H412">
        <v>1902</v>
      </c>
      <c r="I412">
        <v>7</v>
      </c>
      <c r="J412">
        <v>33</v>
      </c>
      <c r="K412">
        <v>0.99633315872184403</v>
      </c>
      <c r="L412">
        <v>0.98294573643410843</v>
      </c>
      <c r="M412">
        <v>0.98959417273673278</v>
      </c>
    </row>
    <row r="413" spans="1:13" x14ac:dyDescent="0.35">
      <c r="A413" t="s">
        <v>94</v>
      </c>
      <c r="B413" t="s">
        <v>153</v>
      </c>
      <c r="C413" t="s">
        <v>15</v>
      </c>
      <c r="D413" t="s">
        <v>22</v>
      </c>
      <c r="E413" t="s">
        <v>23</v>
      </c>
      <c r="F413">
        <v>32</v>
      </c>
      <c r="G413" t="s">
        <v>98</v>
      </c>
      <c r="H413">
        <v>1919</v>
      </c>
      <c r="I413">
        <v>10</v>
      </c>
      <c r="J413">
        <v>16</v>
      </c>
      <c r="K413">
        <v>0.99481596682218765</v>
      </c>
      <c r="L413">
        <v>0.99173126614987084</v>
      </c>
      <c r="M413">
        <v>0.99327122153209124</v>
      </c>
    </row>
    <row r="414" spans="1:13" x14ac:dyDescent="0.35">
      <c r="A414" t="s">
        <v>94</v>
      </c>
      <c r="B414" t="s">
        <v>154</v>
      </c>
      <c r="C414" t="s">
        <v>15</v>
      </c>
      <c r="D414" t="s">
        <v>16</v>
      </c>
      <c r="F414">
        <v>32</v>
      </c>
      <c r="G414" t="s">
        <v>98</v>
      </c>
      <c r="H414">
        <v>1971</v>
      </c>
      <c r="I414">
        <v>13</v>
      </c>
      <c r="J414">
        <v>25</v>
      </c>
      <c r="K414">
        <v>0.99344758064516125</v>
      </c>
      <c r="L414">
        <v>0.98747494989979956</v>
      </c>
      <c r="M414">
        <v>0.99045226130653241</v>
      </c>
    </row>
    <row r="415" spans="1:13" x14ac:dyDescent="0.35">
      <c r="A415" t="s">
        <v>94</v>
      </c>
      <c r="B415" t="s">
        <v>154</v>
      </c>
      <c r="C415" t="s">
        <v>15</v>
      </c>
      <c r="D415" t="s">
        <v>18</v>
      </c>
      <c r="F415">
        <v>32</v>
      </c>
      <c r="G415" t="s">
        <v>97</v>
      </c>
      <c r="H415">
        <v>1971</v>
      </c>
      <c r="I415">
        <v>9</v>
      </c>
      <c r="J415">
        <v>25</v>
      </c>
      <c r="K415">
        <v>0.99545454545454559</v>
      </c>
      <c r="L415">
        <v>0.98747494989979956</v>
      </c>
      <c r="M415">
        <v>0.99144869215291742</v>
      </c>
    </row>
    <row r="416" spans="1:13" x14ac:dyDescent="0.35">
      <c r="A416" t="s">
        <v>94</v>
      </c>
      <c r="B416" t="s">
        <v>154</v>
      </c>
      <c r="C416" t="s">
        <v>15</v>
      </c>
      <c r="D416" t="s">
        <v>20</v>
      </c>
      <c r="E416" t="s">
        <v>21</v>
      </c>
      <c r="F416">
        <v>32</v>
      </c>
      <c r="G416" t="s">
        <v>98</v>
      </c>
      <c r="H416">
        <v>1954</v>
      </c>
      <c r="I416">
        <v>8</v>
      </c>
      <c r="J416">
        <v>42</v>
      </c>
      <c r="K416">
        <v>0.99592252803261982</v>
      </c>
      <c r="L416">
        <v>0.97895791583166336</v>
      </c>
      <c r="M416">
        <v>0.987367357251137</v>
      </c>
    </row>
    <row r="417" spans="1:13" x14ac:dyDescent="0.35">
      <c r="A417" t="s">
        <v>94</v>
      </c>
      <c r="B417" t="s">
        <v>154</v>
      </c>
      <c r="C417" t="s">
        <v>15</v>
      </c>
      <c r="D417" t="s">
        <v>22</v>
      </c>
      <c r="E417" t="s">
        <v>23</v>
      </c>
      <c r="F417">
        <v>32</v>
      </c>
      <c r="G417" t="s">
        <v>97</v>
      </c>
      <c r="H417">
        <v>1963</v>
      </c>
      <c r="I417">
        <v>9</v>
      </c>
      <c r="J417">
        <v>33</v>
      </c>
      <c r="K417">
        <v>0.99543610547667338</v>
      </c>
      <c r="L417">
        <v>0.98346693386773543</v>
      </c>
      <c r="M417">
        <v>0.98941532258064524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fig8_pr_means</vt:lpstr>
      <vt:lpstr>table1_macro_f1</vt:lpstr>
      <vt:lpstr>validation_info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RODNEY PETRUS BALANDONG</cp:lastModifiedBy>
  <dcterms:created xsi:type="dcterms:W3CDTF">2026-09-15T13:13:36Z</dcterms:created>
  <dcterms:modified xsi:type="dcterms:W3CDTF">2026-09-15T13:15:41Z</dcterms:modified>
</cp:coreProperties>
</file>